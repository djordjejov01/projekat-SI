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I\Downloads\"/>
    </mc:Choice>
  </mc:AlternateContent>
  <xr:revisionPtr revIDLastSave="0" documentId="13_ncr:1_{6173AA9A-D782-4C77-8DA3-4DBE28251475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Cena i srednje vreme Obveznice" sheetId="1" r:id="rId1"/>
    <sheet name="Portfolio" sheetId="2" r:id="rId2"/>
  </sheets>
  <definedNames>
    <definedName name="solver_adj" localSheetId="1" hidden="1">Portfolio!$B$62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Portfolio!$B$66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1</definedName>
    <definedName name="solver_typ" localSheetId="1" hidden="1">3</definedName>
    <definedName name="solver_val" localSheetId="1" hidden="1">5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2" l="1"/>
  <c r="C26" i="2"/>
  <c r="H24" i="2"/>
  <c r="H23" i="2"/>
  <c r="H22" i="2"/>
  <c r="H19" i="2"/>
  <c r="H18" i="2"/>
  <c r="H17" i="2"/>
  <c r="E24" i="2"/>
  <c r="E23" i="2"/>
  <c r="E22" i="2"/>
  <c r="E19" i="2"/>
  <c r="E18" i="2"/>
  <c r="E17" i="2"/>
  <c r="B24" i="2"/>
  <c r="B23" i="2"/>
  <c r="B22" i="2"/>
  <c r="B19" i="2"/>
  <c r="B18" i="2"/>
  <c r="B17" i="2"/>
  <c r="M23" i="2"/>
  <c r="N23" i="2" s="1"/>
  <c r="M19" i="2"/>
  <c r="P24" i="2" s="1"/>
  <c r="M18" i="2"/>
  <c r="M24" i="2" s="1"/>
  <c r="G129" i="1"/>
  <c r="G128" i="1"/>
  <c r="G125" i="1"/>
  <c r="G124" i="1"/>
  <c r="G123" i="1"/>
  <c r="E118" i="1"/>
  <c r="E117" i="1"/>
  <c r="E116" i="1"/>
  <c r="E115" i="1"/>
  <c r="E107" i="1"/>
  <c r="E106" i="1"/>
  <c r="E103" i="1"/>
  <c r="E102" i="1"/>
  <c r="E101" i="1"/>
  <c r="L82" i="1"/>
  <c r="L81" i="1"/>
  <c r="M80" i="1"/>
  <c r="M79" i="1"/>
  <c r="L78" i="1"/>
  <c r="L77" i="1"/>
  <c r="L76" i="1"/>
  <c r="L73" i="1"/>
  <c r="L72" i="1"/>
  <c r="L71" i="1"/>
  <c r="F63" i="1"/>
  <c r="F62" i="1"/>
  <c r="F61" i="1"/>
  <c r="F60" i="1"/>
  <c r="F57" i="1"/>
  <c r="F56" i="1"/>
  <c r="D63" i="2"/>
  <c r="D62" i="2"/>
  <c r="B53" i="2"/>
  <c r="B51" i="2"/>
  <c r="B50" i="2"/>
  <c r="B49" i="2"/>
  <c r="B48" i="2"/>
  <c r="B52" i="2" s="1"/>
  <c r="F38" i="2"/>
  <c r="F39" i="2"/>
  <c r="F40" i="2"/>
  <c r="D46" i="2"/>
  <c r="D44" i="2"/>
  <c r="D45" i="2" s="1"/>
  <c r="B40" i="2"/>
  <c r="B39" i="2"/>
  <c r="B38" i="2"/>
  <c r="B124" i="1"/>
  <c r="B115" i="1"/>
  <c r="B118" i="1" s="1"/>
  <c r="B102" i="1"/>
  <c r="B107" i="1" s="1"/>
  <c r="D80" i="1"/>
  <c r="E80" i="1" s="1"/>
  <c r="D79" i="1"/>
  <c r="B73" i="1"/>
  <c r="B72" i="1"/>
  <c r="B71" i="1"/>
  <c r="B78" i="1" s="1"/>
  <c r="B58" i="1"/>
  <c r="B56" i="1"/>
  <c r="B61" i="1" s="1"/>
  <c r="B62" i="1" s="1"/>
  <c r="S23" i="2" l="1"/>
  <c r="T23" i="2" s="1"/>
  <c r="S24" i="2"/>
  <c r="P23" i="2"/>
  <c r="Q23" i="2" s="1"/>
  <c r="N27" i="2" s="1"/>
  <c r="B46" i="2"/>
  <c r="B44" i="2"/>
  <c r="B45" i="2" s="1"/>
  <c r="B66" i="2" s="1"/>
  <c r="F46" i="2"/>
  <c r="F44" i="2"/>
  <c r="F45" i="2" s="1"/>
  <c r="B129" i="1"/>
  <c r="B134" i="1" s="1"/>
  <c r="B137" i="1"/>
  <c r="B77" i="1"/>
  <c r="C77" i="1" s="1"/>
  <c r="B81" i="1"/>
  <c r="B63" i="1"/>
  <c r="B64" i="1" s="1"/>
  <c r="N26" i="2" l="1"/>
  <c r="M28" i="2" s="1"/>
  <c r="B82" i="1"/>
</calcChain>
</file>

<file path=xl/sharedStrings.xml><?xml version="1.0" encoding="utf-8"?>
<sst xmlns="http://schemas.openxmlformats.org/spreadsheetml/2006/main" count="199" uniqueCount="117">
  <si>
    <t>OBVEZNICE</t>
  </si>
  <si>
    <t>F- nominalna vrednost obveznice (face value)</t>
  </si>
  <si>
    <t>V- otkupna vrednost obveznice (redemption value)</t>
  </si>
  <si>
    <t>p- fiksna kamatna stopa na godišnjem nivou</t>
  </si>
  <si>
    <t>m- broj kapitalisanja godišnje</t>
  </si>
  <si>
    <t xml:space="preserve">      - prinos do dospeca</t>
  </si>
  <si>
    <t>C- kupon</t>
  </si>
  <si>
    <t>P- prodajna cena obveznice (purchase value)</t>
  </si>
  <si>
    <t>AI- osvojena kamata</t>
  </si>
  <si>
    <t xml:space="preserve">     (accrued interest)</t>
  </si>
  <si>
    <t>n1- broj dana od dana naplate poslednjeg kupona do dana prodaje</t>
  </si>
  <si>
    <t>n0- ukupan broj dana u tekućem periodu kapitalisanja</t>
  </si>
  <si>
    <t>Prinos do dospeća (yield to maturity)</t>
  </si>
  <si>
    <t>predstavlja stopu po kojoj je sadašnja vrednost toka koji se sastoji od niza kupona i nominalne vrednosti F jednaka prodajnoj ceni P, odnosno interna stopa prinosa za novčani tok.</t>
  </si>
  <si>
    <t>n- broj perioda do datuma dospeća</t>
  </si>
  <si>
    <t>Sadašnji prinos (current yield) CY</t>
  </si>
  <si>
    <t>Za P koristimo funkciju Price</t>
  </si>
  <si>
    <t>Argumenti</t>
  </si>
  <si>
    <t>Settlement</t>
  </si>
  <si>
    <t>Pocetni datum</t>
  </si>
  <si>
    <t>Maturity</t>
  </si>
  <si>
    <t>Krajnji datum</t>
  </si>
  <si>
    <t>Rate</t>
  </si>
  <si>
    <t>Stopa p</t>
  </si>
  <si>
    <t>Yld</t>
  </si>
  <si>
    <t>Stopa lambda</t>
  </si>
  <si>
    <t>Redemption</t>
  </si>
  <si>
    <t>Uvek 100 (Ako je nominalna 2000, stavljamo 100, pa kada izracunamo mnozimo sa 20, jer racuna na sto jedinica mere.</t>
  </si>
  <si>
    <t>Frequency</t>
  </si>
  <si>
    <t>Broj m (kupon perioda u toku 1 godine)</t>
  </si>
  <si>
    <t>Basis</t>
  </si>
  <si>
    <t>0,1,2,3 (uvek stavljamo 1 -actual/actual)</t>
  </si>
  <si>
    <t>1. Obveznica nominalne vrednosti 2000$, sa kamatnom stopom 3,5%, kvartalnim kuponima i datumom dospeća 1.7.2021. godine, kupljena je 1.10.2013. uz prinos kupca 2%. Odrediti prodajnu cenu obveznice i sadašnji prinos.</t>
  </si>
  <si>
    <t>F</t>
  </si>
  <si>
    <t>p</t>
  </si>
  <si>
    <t>m</t>
  </si>
  <si>
    <t>lam</t>
  </si>
  <si>
    <t>C=F*p</t>
  </si>
  <si>
    <t>CY=C/P</t>
  </si>
  <si>
    <t>Sadasnji prinos - kamatna stopa</t>
  </si>
  <si>
    <t>2. Obveznica nominalne vrednosti 1 500 sa kamatnom stopom 6%, kvartalnim kuponima i datumom dospeca 21.09.2025. godine, kupljena je 15.12.2019. godine uz prinos kupcu λ = 6, 5%. Odrediti prodajnu cenu obveznice.</t>
  </si>
  <si>
    <t>Kod obveznica kvartal krece od dana kada je kupljen</t>
  </si>
  <si>
    <t>Ukoliko datum dospeca se ne poklapa sa datumom kada je kupljen, kada se prebaci (npr ovde kvartalno, racun se I taj kvartal tj kvartal vise zato ide do 15.12.2025, funkcijom PRICE).</t>
  </si>
  <si>
    <t>C</t>
  </si>
  <si>
    <t>n1</t>
  </si>
  <si>
    <t>Posto se datumi nisu poklopili na cenu treba dodati osvojenu kamatu to je od datuma kada je obveznica istekla 21.09.2025. do 15.12.2025. to je AI.</t>
  </si>
  <si>
    <t>nc</t>
  </si>
  <si>
    <t>AI</t>
  </si>
  <si>
    <t>Konacna</t>
  </si>
  <si>
    <t>Konacna cena je P+AI</t>
  </si>
  <si>
    <t>Srednje vreme obveznice</t>
  </si>
  <si>
    <t>Funkcija DURATION - isti argumenti kao PRICE, samo se Coupon polje popunjava kao Rate, tj. to je stopa p</t>
  </si>
  <si>
    <t>3. Odrediti srednje vreme obveznice sa polugodisnjim kuponima vrednosti F = 1 000$, kamatnom stopom 7% i datumom dospeca 16.05.2022. godine, ako je na dan kupovine 16.05.2013. prinos dospeca 5%</t>
  </si>
  <si>
    <t>D</t>
  </si>
  <si>
    <t>4. Odrediti srednje vreme obveznice na dan kupovine 15.05.2019. koja ima kvartalne kupone, kamatnu stopu 1% i datum dospeca 15.05.2020, pri cemu je na dan kupovine prinos dospeca 6%.</t>
  </si>
  <si>
    <t>5. Odrediti modifikovano srednje vreme obveznice sa kvartalnim kuponima, nominalne vrednosti 100$, kamatnom stopom 0, 056 i datumom dospeca 28.08.2026. godine, ako na dan kupovine 28.05. 2011. godine, sa prinosom dospeca 4%.</t>
  </si>
  <si>
    <t>Modifikovano srednje vreme obveznice</t>
  </si>
  <si>
    <t>I nacin:</t>
  </si>
  <si>
    <t>Dm</t>
  </si>
  <si>
    <t>II nacin: MDURATION funkcija (modifikovanosrednje vreme), daje vrednost Dm, isti parametri kao D.</t>
  </si>
  <si>
    <t>PORTFOLIO OBVEZNICA</t>
  </si>
  <si>
    <t>Ako su P1,P2,…,Pn cene obveznica, tada je ukupna cena :</t>
  </si>
  <si>
    <t>Srednje vreme portfolija je</t>
  </si>
  <si>
    <t>1. Date su 3 vrste obveznica. Obveznica A koja ima godisnje kupone, nominalnu vrednost 1 500$, p = 7% i datum dospeca 21. 03. 2023. Obveznica B koja ima polugodisnje kupone, nominalnu vrednost 2 000$, kamatnu stopu 6% i datum dospeca 21.09.2026. Obveznica C koja ima godisnje kupone, nominalnu vrednost 1 000$, kamatnu stopu 7, 5% i datum dospeca 21.03.2022. Odrediti cenu i srednju vrednost portfolija na dan kupovine 21.03.2020. godine, koja je sacinjena od dve obveznice tipa A, 3 obveznice tipa B i jedne obveznice tipa C, ako je prinos po dospecu 6, 8%.</t>
  </si>
  <si>
    <t>A</t>
  </si>
  <si>
    <t>B</t>
  </si>
  <si>
    <t>FA</t>
  </si>
  <si>
    <t>FB</t>
  </si>
  <si>
    <t>FC</t>
  </si>
  <si>
    <t>PA</t>
  </si>
  <si>
    <t>PB</t>
  </si>
  <si>
    <t>PC</t>
  </si>
  <si>
    <t>DA</t>
  </si>
  <si>
    <t>DB</t>
  </si>
  <si>
    <t>DC</t>
  </si>
  <si>
    <t>P=2PA+3PB+PC</t>
  </si>
  <si>
    <t>2PA*DA+3PB*DB+PC*DC</t>
  </si>
  <si>
    <t>2. Duznik ima obavezu da 12.06.2020. vrati dug u iznosu od 25 000$. Na trzistu se na dan 12.06.2015. godine nude tri vrste obveznica. Obveznica B1 ima polugodisnje kupone, nominalnu vrednost 1 000$, kamatnu stopu 8% i datum dospeca 12.12.2027. godine. Obveznica B2 ima polugodisnje kupone, nominalnu vrednost 500$, kamatnu stopu 7% i datum dospeca 12.06.2017. godine. Obveznica B3 ima polugodisnje kupone, nominalnu vrednost 300$, kamatnu stopu 7, 5% i datum dospeca 12.06.2022. godine. Konstruisati portfolio u cilju zastite od rizika promene kamatnih stopa koji ce omoguciti vracanje duga na vreme, ako je prinos do dospeca 7, 2%.</t>
  </si>
  <si>
    <t>B1</t>
  </si>
  <si>
    <t>B2</t>
  </si>
  <si>
    <t>B3</t>
  </si>
  <si>
    <t>FB1</t>
  </si>
  <si>
    <t>FB2</t>
  </si>
  <si>
    <t>FB3</t>
  </si>
  <si>
    <r>
      <rPr>
        <b/>
        <sz val="11"/>
        <color theme="1"/>
        <rFont val="Calibri"/>
        <family val="2"/>
        <scheme val="minor"/>
      </rPr>
      <t>Napomena.</t>
    </r>
    <r>
      <rPr>
        <sz val="11"/>
        <color theme="1"/>
        <rFont val="Calibri"/>
        <family val="2"/>
        <charset val="204"/>
        <scheme val="minor"/>
      </rPr>
      <t xml:space="preserve"> Zadatak u skripti je radjen tako da je FB1=100, pa se iz tog razloga dobio drugi broj obveznica!</t>
    </r>
  </si>
  <si>
    <t>P_B1</t>
  </si>
  <si>
    <t>P_B2</t>
  </si>
  <si>
    <t>P_B3</t>
  </si>
  <si>
    <t>D_B1</t>
  </si>
  <si>
    <t>D_B2</t>
  </si>
  <si>
    <t>D_B3</t>
  </si>
  <si>
    <t>Z</t>
  </si>
  <si>
    <t>25000 prebacujemo u 12.06.2015, jer se obveznice koje pokrivaju taj dug raspisuju tog datuma.</t>
  </si>
  <si>
    <t>r</t>
  </si>
  <si>
    <t>n je broj semestara od 12.06.2015. do 12.06.2020., posto je od istog do istog datuma, ne moramo da racunamo ta I tb, jer tacno predstavlja razmak od 5 godina.</t>
  </si>
  <si>
    <t>n</t>
  </si>
  <si>
    <t>A(0)=P</t>
  </si>
  <si>
    <t>Pravimo portfolio tako da cuva promenu cene sto bolje, tako da uzimamo najvecu mogucu vrednost za srednje vreme portfolia, zato uzimamo tacan razmak, a to je 5god.</t>
  </si>
  <si>
    <t xml:space="preserve">Pravimo selekciju koje cemo obveznice koristiti, tako da kada se pravi portfolio, zbog sigurnosti treba da biramo one tipove obveznica tako da imamo one cije je srednje vreme i vece i manje od 5. Npr ovde od B1 I B2 pravimo, moglo je i B2 i B3, kao i sve tri da kombinujemo B1, B2, B3. Zbog sistema jednacina biramo prvu ili drugu opciju. </t>
  </si>
  <si>
    <t>B1 i B2 npr.</t>
  </si>
  <si>
    <t>Ako koristimo solver za resavnje sistema, jednu promenljivu trazimo, npr ovde je to b, a promenljivu a smo izrazili preko jednakosti I promenljive  b, tj jednakosti P=aPb_1+bPb_2</t>
  </si>
  <si>
    <t>a</t>
  </si>
  <si>
    <t>b</t>
  </si>
  <si>
    <t>Dakle, ovaj portfolio je sacinjen od 8 obveznica tipa B1 i 18 obveznica tipa B2.</t>
  </si>
  <si>
    <t>P</t>
  </si>
  <si>
    <t>lambda</t>
  </si>
  <si>
    <t>CY</t>
  </si>
  <si>
    <t>Konacno</t>
  </si>
  <si>
    <t>Pa</t>
  </si>
  <si>
    <t>Da</t>
  </si>
  <si>
    <t>Pb</t>
  </si>
  <si>
    <t>Db</t>
  </si>
  <si>
    <t>Fa</t>
  </si>
  <si>
    <t>Fb</t>
  </si>
  <si>
    <t>Fc</t>
  </si>
  <si>
    <t>Pc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</si>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</sst>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1"/>
      <color theme="1"/>
      <name val="Calibri"/>
      <family val="2"/>
      <charset val="238"/>
      <scheme val="minor"/>
    </font>
    <font>
      <sz val="12"/>
      <color rgb="FF000000"/>
      <name val="F55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C0000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/>
      <top/>
      <bottom style="thick">
        <color theme="4"/>
      </bottom>
      <diagonal/>
    </border>
    <border>
      <left/>
      <right style="thick">
        <color theme="4"/>
      </right>
      <top/>
      <bottom style="thick">
        <color theme="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9" fontId="0" fillId="0" borderId="0" xfId="0" applyNumberFormat="1"/>
    <xf numFmtId="0" fontId="4" fillId="0" borderId="0" xfId="0" applyFont="1"/>
    <xf numFmtId="0" fontId="5" fillId="0" borderId="0" xfId="0" applyFont="1"/>
    <xf numFmtId="10" fontId="0" fillId="0" borderId="0" xfId="0" applyNumberFormat="1"/>
    <xf numFmtId="0" fontId="5" fillId="3" borderId="0" xfId="0" applyFont="1" applyFill="1"/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center"/>
    </xf>
    <xf numFmtId="0" fontId="0" fillId="3" borderId="0" xfId="0" applyFill="1"/>
    <xf numFmtId="0" fontId="0" fillId="0" borderId="0" xfId="0" applyAlignment="1">
      <alignment horizontal="left" wrapText="1"/>
    </xf>
    <xf numFmtId="0" fontId="5" fillId="5" borderId="0" xfId="0" applyFont="1" applyFill="1" applyAlignment="1">
      <alignment horizont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vertical="center"/>
    </xf>
    <xf numFmtId="0" fontId="8" fillId="3" borderId="15" xfId="0" applyFont="1" applyFill="1" applyBorder="1" applyAlignment="1">
      <alignment horizontal="left" vertical="center"/>
    </xf>
    <xf numFmtId="0" fontId="8" fillId="3" borderId="0" xfId="0" applyFont="1" applyFill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164" fontId="0" fillId="0" borderId="0" xfId="0" applyNumberFormat="1"/>
    <xf numFmtId="0" fontId="0" fillId="6" borderId="0" xfId="0" applyFill="1" applyAlignment="1">
      <alignment horizontal="center"/>
    </xf>
    <xf numFmtId="0" fontId="0" fillId="0" borderId="2" xfId="0" applyBorder="1" applyAlignment="1">
      <alignment horizontal="left" vertical="top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/>
    </xf>
    <xf numFmtId="0" fontId="0" fillId="2" borderId="0" xfId="0" applyFill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5" fillId="4" borderId="0" xfId="0" applyFont="1" applyFill="1" applyAlignment="1">
      <alignment horizontal="center" vertical="top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 vertical="top" wrapText="1"/>
    </xf>
    <xf numFmtId="0" fontId="8" fillId="4" borderId="0" xfId="0" applyFont="1" applyFill="1" applyAlignment="1">
      <alignment horizontal="center"/>
    </xf>
    <xf numFmtId="0" fontId="0" fillId="3" borderId="0" xfId="0" applyFill="1" applyAlignment="1">
      <alignment horizontal="left" wrapText="1"/>
    </xf>
    <xf numFmtId="0" fontId="6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8" fillId="3" borderId="12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5">
    <cellStyle name="Normal" xfId="0" builtinId="0"/>
    <cellStyle name="Normal 2" xfId="2" xr:uid="{00000000-0005-0000-0000-000001000000}"/>
    <cellStyle name="Normal 3" xfId="1" xr:uid="{00000000-0005-0000-0000-000002000000}"/>
    <cellStyle name="Percent 2" xfId="4" xr:uid="{00000000-0005-0000-0000-000003000000}"/>
    <cellStyle name="Percent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5</xdr:row>
      <xdr:rowOff>22860</xdr:rowOff>
    </xdr:from>
    <xdr:to>
      <xdr:col>0</xdr:col>
      <xdr:colOff>205740</xdr:colOff>
      <xdr:row>5</xdr:row>
      <xdr:rowOff>175260</xdr:rowOff>
    </xdr:to>
    <xdr:pic>
      <xdr:nvPicPr>
        <xdr:cNvPr id="7" name="Object 1">
          <a:extLst>
            <a:ext uri="{FF2B5EF4-FFF2-40B4-BE49-F238E27FC236}">
              <a16:creationId xmlns:a16="http://schemas.microsoft.com/office/drawing/2014/main" id="{2B4224B7-E056-1A68-3294-66C917A07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1287780"/>
          <a:ext cx="17526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205740</xdr:colOff>
      <xdr:row>9</xdr:row>
      <xdr:rowOff>22860</xdr:rowOff>
    </xdr:from>
    <xdr:to>
      <xdr:col>3</xdr:col>
      <xdr:colOff>249555</xdr:colOff>
      <xdr:row>12</xdr:row>
      <xdr:rowOff>53340</xdr:rowOff>
    </xdr:to>
    <xdr:pic>
      <xdr:nvPicPr>
        <xdr:cNvPr id="8" name="Object 2">
          <a:extLst>
            <a:ext uri="{FF2B5EF4-FFF2-40B4-BE49-F238E27FC236}">
              <a16:creationId xmlns:a16="http://schemas.microsoft.com/office/drawing/2014/main" id="{CC635851-574E-35B6-8623-DA13672A0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3560" y="1958340"/>
          <a:ext cx="891540" cy="579120"/>
        </a:xfrm>
        <a:prstGeom prst="rect">
          <a:avLst/>
        </a:prstGeom>
      </xdr:spPr>
    </xdr:pic>
    <xdr:clientData/>
  </xdr:twoCellAnchor>
  <xdr:twoCellAnchor editAs="oneCell">
    <xdr:from>
      <xdr:col>3</xdr:col>
      <xdr:colOff>449580</xdr:colOff>
      <xdr:row>16</xdr:row>
      <xdr:rowOff>22860</xdr:rowOff>
    </xdr:from>
    <xdr:to>
      <xdr:col>4</xdr:col>
      <xdr:colOff>144780</xdr:colOff>
      <xdr:row>16</xdr:row>
      <xdr:rowOff>175260</xdr:rowOff>
    </xdr:to>
    <xdr:pic>
      <xdr:nvPicPr>
        <xdr:cNvPr id="9" name="Object 3">
          <a:extLst>
            <a:ext uri="{FF2B5EF4-FFF2-40B4-BE49-F238E27FC236}">
              <a16:creationId xmlns:a16="http://schemas.microsoft.com/office/drawing/2014/main" id="{772C6A80-6FB4-B55B-D305-86F8134CB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50820" y="3131820"/>
          <a:ext cx="304800" cy="152400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1</xdr:col>
      <xdr:colOff>441960</xdr:colOff>
      <xdr:row>20</xdr:row>
      <xdr:rowOff>91440</xdr:rowOff>
    </xdr:from>
    <xdr:to>
      <xdr:col>5</xdr:col>
      <xdr:colOff>291677</xdr:colOff>
      <xdr:row>23</xdr:row>
      <xdr:rowOff>144780</xdr:rowOff>
    </xdr:to>
    <xdr:pic>
      <xdr:nvPicPr>
        <xdr:cNvPr id="10" name="Object 4">
          <a:extLst>
            <a:ext uri="{FF2B5EF4-FFF2-40B4-BE49-F238E27FC236}">
              <a16:creationId xmlns:a16="http://schemas.microsoft.com/office/drawing/2014/main" id="{FCAF2E32-6FB3-9FFB-DCAC-331247BD6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3960" y="3870960"/>
          <a:ext cx="2743200" cy="601980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2</xdr:col>
      <xdr:colOff>426720</xdr:colOff>
      <xdr:row>28</xdr:row>
      <xdr:rowOff>68580</xdr:rowOff>
    </xdr:from>
    <xdr:to>
      <xdr:col>3</xdr:col>
      <xdr:colOff>501015</xdr:colOff>
      <xdr:row>31</xdr:row>
      <xdr:rowOff>22860</xdr:rowOff>
    </xdr:to>
    <xdr:pic>
      <xdr:nvPicPr>
        <xdr:cNvPr id="11" name="Object 5">
          <a:extLst>
            <a:ext uri="{FF2B5EF4-FFF2-40B4-BE49-F238E27FC236}">
              <a16:creationId xmlns:a16="http://schemas.microsoft.com/office/drawing/2014/main" id="{D92AFE0F-2D1A-4C90-FF8C-A3076C200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34540" y="5189220"/>
          <a:ext cx="922020" cy="50292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34</xdr:row>
      <xdr:rowOff>23813</xdr:rowOff>
    </xdr:from>
    <xdr:to>
      <xdr:col>3</xdr:col>
      <xdr:colOff>424012</xdr:colOff>
      <xdr:row>41</xdr:row>
      <xdr:rowOff>123430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ADDD72-4E6A-F7F0-796F-75A046EB8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491288"/>
          <a:ext cx="2614762" cy="1547417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</xdr:colOff>
      <xdr:row>42</xdr:row>
      <xdr:rowOff>94442</xdr:rowOff>
    </xdr:from>
    <xdr:to>
      <xdr:col>3</xdr:col>
      <xdr:colOff>328612</xdr:colOff>
      <xdr:row>49</xdr:row>
      <xdr:rowOff>47269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95923A-58E3-058C-177C-3FBD7D71E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437" y="8085917"/>
          <a:ext cx="2466975" cy="1353002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142877</xdr:colOff>
      <xdr:row>88</xdr:row>
      <xdr:rowOff>76199</xdr:rowOff>
    </xdr:from>
    <xdr:to>
      <xdr:col>3</xdr:col>
      <xdr:colOff>404505</xdr:colOff>
      <xdr:row>95</xdr:row>
      <xdr:rowOff>161535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9B263B-34CE-B041-5627-D5223F45C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2877" y="16478249"/>
          <a:ext cx="2471428" cy="1456936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84</xdr:row>
      <xdr:rowOff>63110</xdr:rowOff>
    </xdr:from>
    <xdr:to>
      <xdr:col>5</xdr:col>
      <xdr:colOff>328167</xdr:colOff>
      <xdr:row>86</xdr:row>
      <xdr:rowOff>147574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B91259-58C4-1B60-B17F-FB191D93F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0550" y="16274660"/>
          <a:ext cx="3223767" cy="465464"/>
        </a:xfrm>
        <a:prstGeom prst="rect">
          <a:avLst/>
        </a:prstGeom>
      </xdr:spPr>
    </xdr:pic>
    <xdr:clientData/>
  </xdr:twoCellAnchor>
  <xdr:oneCellAnchor>
    <xdr:from>
      <xdr:col>3</xdr:col>
      <xdr:colOff>414337</xdr:colOff>
      <xdr:row>129</xdr:row>
      <xdr:rowOff>69056</xdr:rowOff>
    </xdr:from>
    <xdr:ext cx="784767" cy="4680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8B16923-BA5C-5D9E-B125-47536C2EEF33}"/>
                </a:ext>
              </a:extLst>
            </xdr:cNvPr>
            <xdr:cNvSpPr txBox="1"/>
          </xdr:nvSpPr>
          <xdr:spPr>
            <a:xfrm>
              <a:off x="2471737" y="24881681"/>
              <a:ext cx="784767" cy="468077"/>
            </a:xfrm>
            <a:prstGeom prst="rect">
              <a:avLst/>
            </a:prstGeom>
            <a:noFill/>
            <a:ln w="2857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𝜆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8B16923-BA5C-5D9E-B125-47536C2EEF33}"/>
                </a:ext>
              </a:extLst>
            </xdr:cNvPr>
            <xdr:cNvSpPr txBox="1"/>
          </xdr:nvSpPr>
          <xdr:spPr>
            <a:xfrm>
              <a:off x="2471737" y="24881681"/>
              <a:ext cx="784767" cy="468077"/>
            </a:xfrm>
            <a:prstGeom prst="rect">
              <a:avLst/>
            </a:prstGeom>
            <a:noFill/>
            <a:ln w="2857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𝐷_𝑚=𝐷/(1+𝜆/𝑚)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103715</xdr:colOff>
      <xdr:row>3</xdr:row>
      <xdr:rowOff>21696</xdr:rowOff>
    </xdr:from>
    <xdr:ext cx="129112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5FDCD19-F1B4-00A3-ACCB-3CEE692B62CB}"/>
                </a:ext>
              </a:extLst>
            </xdr:cNvPr>
            <xdr:cNvSpPr txBox="1"/>
          </xdr:nvSpPr>
          <xdr:spPr>
            <a:xfrm>
              <a:off x="1654173" y="603779"/>
              <a:ext cx="12911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</a:rPr>
                      <m:t>𝑷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𝑷</m:t>
                        </m:r>
                      </m:e>
                      <m:sub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𝑷</m:t>
                        </m:r>
                      </m:e>
                      <m:sub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100" b="1" i="1">
                        <a:latin typeface="Cambria Math" panose="02040503050406030204" pitchFamily="18" charset="0"/>
                      </a:rPr>
                      <m:t>+…</m:t>
                    </m:r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𝑷</m:t>
                        </m:r>
                      </m:e>
                      <m:sub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𝒏</m:t>
                        </m:r>
                      </m:sub>
                    </m:sSub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5FDCD19-F1B4-00A3-ACCB-3CEE692B62CB}"/>
                </a:ext>
              </a:extLst>
            </xdr:cNvPr>
            <xdr:cNvSpPr txBox="1"/>
          </xdr:nvSpPr>
          <xdr:spPr>
            <a:xfrm>
              <a:off x="1654173" y="603779"/>
              <a:ext cx="12911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𝑷=𝑷_𝟏+𝑷_𝟐+…𝑷_𝒏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1</xdr:col>
      <xdr:colOff>439209</xdr:colOff>
      <xdr:row>5</xdr:row>
      <xdr:rowOff>74083</xdr:rowOff>
    </xdr:from>
    <xdr:ext cx="2269404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4BA4751-1CD0-4336-B326-79A70E18CBB0}"/>
                </a:ext>
              </a:extLst>
            </xdr:cNvPr>
            <xdr:cNvSpPr txBox="1"/>
          </xdr:nvSpPr>
          <xdr:spPr>
            <a:xfrm>
              <a:off x="1047751" y="1058333"/>
              <a:ext cx="2269404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</a:rPr>
                      <m:t>𝑫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𝑷</m:t>
                            </m:r>
                          </m:e>
                          <m:sub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sz="11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𝑫</m:t>
                            </m:r>
                          </m:e>
                          <m:sub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num>
                      <m:den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𝑷</m:t>
                        </m:r>
                      </m:den>
                    </m:f>
                    <m:r>
                      <a:rPr lang="en-US" sz="1100" b="1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⋅</m:t>
                        </m:r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𝑫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𝑷</m:t>
                        </m:r>
                      </m:den>
                    </m:f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…+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𝒏</m:t>
                            </m:r>
                          </m:sub>
                        </m:s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⋅</m:t>
                        </m:r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𝑫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𝒏</m:t>
                            </m:r>
                          </m:sub>
                        </m:sSub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𝑷</m:t>
                        </m:r>
                      </m:den>
                    </m:f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4BA4751-1CD0-4336-B326-79A70E18CBB0}"/>
                </a:ext>
              </a:extLst>
            </xdr:cNvPr>
            <xdr:cNvSpPr txBox="1"/>
          </xdr:nvSpPr>
          <xdr:spPr>
            <a:xfrm>
              <a:off x="1047751" y="1058333"/>
              <a:ext cx="2269404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𝑫=(𝑷_𝟏⋅𝑫_𝟏)/𝑷+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(𝑷_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⋅𝑫_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)/𝑷+</a:t>
              </a:r>
              <a:r>
                <a:rPr lang="en-US" sz="1100" b="1" i="0">
                  <a:latin typeface="Cambria Math" panose="02040503050406030204" pitchFamily="18" charset="0"/>
                </a:rPr>
                <a:t>…+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(𝑷_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𝒏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⋅𝑫_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𝒏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)/𝑷</a:t>
              </a:r>
              <a:endParaRPr lang="en-US" sz="1100" b="1"/>
            </a:p>
          </xdr:txBody>
        </xdr:sp>
      </mc:Fallback>
    </mc:AlternateContent>
    <xdr:clientData/>
  </xdr:oneCellAnchor>
  <xdr:twoCellAnchor>
    <xdr:from>
      <xdr:col>4</xdr:col>
      <xdr:colOff>61381</xdr:colOff>
      <xdr:row>60</xdr:row>
      <xdr:rowOff>116946</xdr:rowOff>
    </xdr:from>
    <xdr:to>
      <xdr:col>6</xdr:col>
      <xdr:colOff>507998</xdr:colOff>
      <xdr:row>66</xdr:row>
      <xdr:rowOff>79376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AAE55B99-EE00-2B80-50F2-F022296C6B99}"/>
            </a:ext>
          </a:extLst>
        </xdr:cNvPr>
        <xdr:cNvGrpSpPr/>
      </xdr:nvGrpSpPr>
      <xdr:grpSpPr>
        <a:xfrm>
          <a:off x="2908298" y="11578696"/>
          <a:ext cx="1970617" cy="1105430"/>
          <a:chOff x="5157257" y="9186862"/>
          <a:chExt cx="1970617" cy="1105430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166AA26D-1ED1-9205-8B77-293A6908BEFF}"/>
              </a:ext>
            </a:extLst>
          </xdr:cNvPr>
          <xdr:cNvSpPr txBox="1"/>
        </xdr:nvSpPr>
        <xdr:spPr>
          <a:xfrm>
            <a:off x="5157257" y="9186862"/>
            <a:ext cx="1970617" cy="1105430"/>
          </a:xfrm>
          <a:prstGeom prst="rect">
            <a:avLst/>
          </a:prstGeom>
          <a:ln w="38100"/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Resavamo sistem jednacina, po a i b:</a:t>
            </a:r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E84B6A8C-0CFE-E5C2-3EAF-9122CD395F66}"/>
              </a:ext>
            </a:extLst>
          </xdr:cNvPr>
          <xdr:cNvGrpSpPr/>
        </xdr:nvGrpSpPr>
        <xdr:grpSpPr>
          <a:xfrm>
            <a:off x="5183716" y="9652530"/>
            <a:ext cx="1911549" cy="547821"/>
            <a:chOff x="3696757" y="10478029"/>
            <a:chExt cx="1911549" cy="547821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8" name="TextBox 7">
                  <a:extLst>
                    <a:ext uri="{FF2B5EF4-FFF2-40B4-BE49-F238E27FC236}">
                      <a16:creationId xmlns:a16="http://schemas.microsoft.com/office/drawing/2014/main" id="{ABA339E3-EE13-4C2C-86C4-9EC861F41556}"/>
                    </a:ext>
                  </a:extLst>
                </xdr:cNvPr>
                <xdr:cNvSpPr txBox="1"/>
              </xdr:nvSpPr>
              <xdr:spPr>
                <a:xfrm>
                  <a:off x="3739091" y="10478029"/>
                  <a:ext cx="1256048" cy="172227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oMath>
                    </m:oMathPara>
                  </a14:m>
                  <a:endParaRPr lang="en-US" sz="1100"/>
                </a:p>
              </xdr:txBody>
            </xdr:sp>
          </mc:Choice>
          <mc:Fallback xmlns="">
            <xdr:sp macro="" textlink="">
              <xdr:nvSpPr>
                <xdr:cNvPr id="8" name="TextBox 7">
                  <a:extLst>
                    <a:ext uri="{FF2B5EF4-FFF2-40B4-BE49-F238E27FC236}">
                      <a16:creationId xmlns:a16="http://schemas.microsoft.com/office/drawing/2014/main" id="{ABA339E3-EE13-4C2C-86C4-9EC861F41556}"/>
                    </a:ext>
                  </a:extLst>
                </xdr:cNvPr>
                <xdr:cNvSpPr txBox="1"/>
              </xdr:nvSpPr>
              <xdr:spPr>
                <a:xfrm>
                  <a:off x="3739091" y="10478029"/>
                  <a:ext cx="1256048" cy="172227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noAutofit/>
                </a:bodyPr>
                <a:lstStyle/>
                <a:p>
                  <a:r>
                    <a:rPr lang="en-US" sz="1100" b="0" i="0">
                      <a:latin typeface="Cambria Math" panose="02040503050406030204" pitchFamily="18" charset="0"/>
                    </a:rPr>
                    <a:t>𝑃=𝑎⋅𝑃_𝐵1+𝑏⋅𝑃_𝐵2</a:t>
                  </a:r>
                  <a:endParaRPr lang="en-US" sz="1100"/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9" name="TextBox 8">
                  <a:extLst>
                    <a:ext uri="{FF2B5EF4-FFF2-40B4-BE49-F238E27FC236}">
                      <a16:creationId xmlns:a16="http://schemas.microsoft.com/office/drawing/2014/main" id="{345C4EBD-4F8E-45C9-BCD6-118406117B52}"/>
                    </a:ext>
                  </a:extLst>
                </xdr:cNvPr>
                <xdr:cNvSpPr txBox="1"/>
              </xdr:nvSpPr>
              <xdr:spPr>
                <a:xfrm>
                  <a:off x="3696757" y="10705570"/>
                  <a:ext cx="1911549" cy="32028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sp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den>
                        </m:f>
                      </m:oMath>
                    </m:oMathPara>
                  </a14:m>
                  <a:endParaRPr lang="en-US" sz="1100"/>
                </a:p>
              </xdr:txBody>
            </xdr:sp>
          </mc:Choice>
          <mc:Fallback xmlns="">
            <xdr:sp macro="" textlink="">
              <xdr:nvSpPr>
                <xdr:cNvPr id="9" name="TextBox 8">
                  <a:extLst>
                    <a:ext uri="{FF2B5EF4-FFF2-40B4-BE49-F238E27FC236}">
                      <a16:creationId xmlns:a16="http://schemas.microsoft.com/office/drawing/2014/main" id="{345C4EBD-4F8E-45C9-BCD6-118406117B52}"/>
                    </a:ext>
                  </a:extLst>
                </xdr:cNvPr>
                <xdr:cNvSpPr txBox="1"/>
              </xdr:nvSpPr>
              <xdr:spPr>
                <a:xfrm>
                  <a:off x="3696757" y="10705570"/>
                  <a:ext cx="1911549" cy="32028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spAutoFit/>
                </a:bodyPr>
                <a:lstStyle/>
                <a:p>
                  <a:r>
                    <a:rPr lang="en-US" sz="1100" b="0" i="0">
                      <a:latin typeface="Cambria Math" panose="02040503050406030204" pitchFamily="18" charset="0"/>
                    </a:rPr>
                    <a:t>𝐷=(</a:t>
                  </a:r>
                  <a:r>
                    <a:rPr lang="en-US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𝑎⋅𝑃_𝐵1</a:t>
                  </a:r>
                  <a: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⋅𝐷_𝐵1</a:t>
                  </a:r>
                  <a:r>
                    <a:rPr lang="en-US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+𝑏⋅𝑃_𝐵2</a:t>
                  </a:r>
                  <a: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⋅𝐷_𝐵2)/</a:t>
                  </a:r>
                  <a:r>
                    <a:rPr lang="en-US" sz="1100" b="0" i="0">
                      <a:latin typeface="Cambria Math" panose="02040503050406030204" pitchFamily="18" charset="0"/>
                    </a:rPr>
                    <a:t>𝑃</a:t>
                  </a:r>
                  <a:endParaRPr lang="en-US" sz="1100"/>
                </a:p>
              </xdr:txBody>
            </xdr:sp>
          </mc:Fallback>
        </mc:AlternateContent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7"/>
  <sheetViews>
    <sheetView topLeftCell="A67" zoomScale="200" zoomScaleNormal="200" workbookViewId="0">
      <selection activeCell="L71" sqref="L71"/>
    </sheetView>
  </sheetViews>
  <sheetFormatPr defaultRowHeight="15"/>
  <cols>
    <col min="2" max="2" width="11.28515625" customWidth="1"/>
    <col min="3" max="3" width="12.7109375" customWidth="1"/>
    <col min="5" max="7" width="10" bestFit="1" customWidth="1"/>
    <col min="11" max="11" width="10" bestFit="1" customWidth="1"/>
    <col min="12" max="13" width="11" bestFit="1" customWidth="1"/>
  </cols>
  <sheetData>
    <row r="1" spans="1:8" ht="15.75">
      <c r="A1" s="51" t="s">
        <v>0</v>
      </c>
      <c r="B1" s="51"/>
      <c r="C1" s="51"/>
      <c r="D1" s="51"/>
      <c r="E1" s="51"/>
      <c r="F1" s="51"/>
      <c r="G1" s="51"/>
      <c r="H1" s="51"/>
    </row>
    <row r="2" spans="1:8">
      <c r="A2" s="12" t="s">
        <v>1</v>
      </c>
      <c r="B2" s="12"/>
      <c r="C2" s="12"/>
      <c r="D2" s="12"/>
      <c r="E2" s="12"/>
      <c r="F2" s="12"/>
      <c r="G2" s="12"/>
      <c r="H2" s="12"/>
    </row>
    <row r="3" spans="1:8">
      <c r="A3" s="12" t="s">
        <v>2</v>
      </c>
      <c r="B3" s="12"/>
      <c r="C3" s="12"/>
      <c r="D3" s="12"/>
      <c r="E3" s="12"/>
      <c r="F3" s="12"/>
      <c r="G3" s="12"/>
      <c r="H3" s="12"/>
    </row>
    <row r="4" spans="1:8">
      <c r="A4" s="12" t="s">
        <v>3</v>
      </c>
      <c r="B4" s="12"/>
      <c r="C4" s="12"/>
      <c r="D4" s="12"/>
      <c r="E4" s="12"/>
      <c r="F4" s="12"/>
      <c r="G4" s="12"/>
      <c r="H4" s="12"/>
    </row>
    <row r="5" spans="1:8">
      <c r="A5" s="12" t="s">
        <v>4</v>
      </c>
      <c r="B5" s="12"/>
      <c r="C5" s="12"/>
      <c r="D5" s="12"/>
      <c r="E5" s="12"/>
      <c r="F5" s="12"/>
      <c r="G5" s="12"/>
      <c r="H5" s="12"/>
    </row>
    <row r="6" spans="1:8">
      <c r="A6" s="12" t="s">
        <v>5</v>
      </c>
      <c r="B6" s="12"/>
      <c r="C6" s="12"/>
      <c r="D6" s="12"/>
      <c r="E6" s="12"/>
      <c r="F6" s="12"/>
      <c r="G6" s="12"/>
      <c r="H6" s="12"/>
    </row>
    <row r="7" spans="1:8">
      <c r="A7" s="12"/>
      <c r="B7" s="12"/>
      <c r="C7" s="12"/>
      <c r="D7" s="12"/>
      <c r="E7" s="12"/>
      <c r="F7" s="12"/>
      <c r="G7" s="12"/>
      <c r="H7" s="12"/>
    </row>
    <row r="8" spans="1:8">
      <c r="A8" s="12" t="s">
        <v>6</v>
      </c>
      <c r="B8" s="12"/>
      <c r="C8" s="12"/>
      <c r="D8" s="12"/>
      <c r="E8" s="12"/>
      <c r="F8" s="12"/>
      <c r="G8" s="12"/>
      <c r="H8" s="12"/>
    </row>
    <row r="9" spans="1:8">
      <c r="A9" s="12" t="s">
        <v>7</v>
      </c>
      <c r="B9" s="12"/>
      <c r="C9" s="12"/>
      <c r="D9" s="12"/>
      <c r="E9" s="12"/>
      <c r="F9" s="12"/>
      <c r="G9" s="12"/>
      <c r="H9" s="12"/>
    </row>
    <row r="10" spans="1:8">
      <c r="A10" s="12" t="s">
        <v>8</v>
      </c>
      <c r="B10" s="12"/>
      <c r="C10" s="12"/>
      <c r="D10" s="12"/>
      <c r="E10" s="12"/>
      <c r="F10" s="12"/>
      <c r="G10" s="12"/>
      <c r="H10" s="12"/>
    </row>
    <row r="11" spans="1:8">
      <c r="A11" s="12" t="s">
        <v>9</v>
      </c>
      <c r="B11" s="12"/>
      <c r="C11" s="12"/>
      <c r="D11" s="12"/>
      <c r="E11" s="12"/>
      <c r="F11" s="12"/>
      <c r="G11" s="12"/>
      <c r="H11" s="12"/>
    </row>
    <row r="12" spans="1:8">
      <c r="A12" s="12"/>
      <c r="B12" s="12"/>
      <c r="C12" s="12"/>
      <c r="D12" s="12"/>
      <c r="E12" s="12"/>
      <c r="F12" s="12"/>
      <c r="G12" s="12"/>
      <c r="H12" s="12"/>
    </row>
    <row r="13" spans="1:8">
      <c r="A13" s="12"/>
      <c r="B13" s="12"/>
      <c r="C13" s="12"/>
      <c r="D13" s="12"/>
      <c r="E13" s="12"/>
      <c r="F13" s="12"/>
      <c r="G13" s="12"/>
      <c r="H13" s="12"/>
    </row>
    <row r="14" spans="1:8">
      <c r="A14" s="12" t="s">
        <v>10</v>
      </c>
      <c r="B14" s="12"/>
      <c r="C14" s="12"/>
      <c r="D14" s="12"/>
      <c r="E14" s="12"/>
      <c r="F14" s="12"/>
      <c r="G14" s="12"/>
      <c r="H14" s="12"/>
    </row>
    <row r="15" spans="1:8">
      <c r="A15" s="12" t="s">
        <v>11</v>
      </c>
      <c r="B15" s="12"/>
      <c r="C15" s="12"/>
      <c r="D15" s="12"/>
      <c r="E15" s="12"/>
      <c r="F15" s="12"/>
      <c r="G15" s="12"/>
      <c r="H15" s="12"/>
    </row>
    <row r="16" spans="1:8">
      <c r="A16" s="12"/>
      <c r="B16" s="12"/>
      <c r="C16" s="12"/>
      <c r="D16" s="12"/>
      <c r="E16" s="12"/>
      <c r="F16" s="12"/>
      <c r="G16" s="12"/>
      <c r="H16" s="12"/>
    </row>
    <row r="17" spans="1:8">
      <c r="A17" s="12" t="s">
        <v>12</v>
      </c>
      <c r="B17" s="12"/>
      <c r="C17" s="12"/>
      <c r="D17" s="12"/>
      <c r="E17" s="12"/>
      <c r="F17" s="12"/>
      <c r="G17" s="12"/>
      <c r="H17" s="12"/>
    </row>
    <row r="18" spans="1:8" ht="14.45" customHeight="1">
      <c r="A18" s="52" t="s">
        <v>13</v>
      </c>
      <c r="B18" s="52"/>
      <c r="C18" s="52"/>
      <c r="D18" s="52"/>
      <c r="E18" s="52"/>
      <c r="F18" s="52"/>
      <c r="G18" s="52"/>
      <c r="H18" s="12"/>
    </row>
    <row r="19" spans="1:8">
      <c r="A19" s="52"/>
      <c r="B19" s="52"/>
      <c r="C19" s="52"/>
      <c r="D19" s="52"/>
      <c r="E19" s="52"/>
      <c r="F19" s="52"/>
      <c r="G19" s="52"/>
      <c r="H19" s="12"/>
    </row>
    <row r="20" spans="1:8">
      <c r="A20" s="52"/>
      <c r="B20" s="52"/>
      <c r="C20" s="52"/>
      <c r="D20" s="52"/>
      <c r="E20" s="52"/>
      <c r="F20" s="52"/>
      <c r="G20" s="52"/>
      <c r="H20" s="12"/>
    </row>
    <row r="21" spans="1:8">
      <c r="A21" s="12"/>
      <c r="B21" s="12"/>
      <c r="C21" s="12"/>
      <c r="D21" s="12"/>
      <c r="E21" s="12"/>
      <c r="F21" s="12"/>
      <c r="G21" s="12"/>
      <c r="H21" s="12"/>
    </row>
    <row r="22" spans="1:8">
      <c r="A22" s="12"/>
      <c r="B22" s="12"/>
      <c r="C22" s="12"/>
      <c r="D22" s="12"/>
      <c r="E22" s="12"/>
      <c r="F22" s="12"/>
      <c r="G22" s="12"/>
      <c r="H22" s="12"/>
    </row>
    <row r="23" spans="1:8">
      <c r="A23" s="12"/>
      <c r="B23" s="12"/>
      <c r="C23" s="12"/>
      <c r="D23" s="12"/>
      <c r="E23" s="12"/>
      <c r="F23" s="12"/>
      <c r="G23" s="12"/>
      <c r="H23" s="12"/>
    </row>
    <row r="24" spans="1:8">
      <c r="A24" s="12"/>
      <c r="B24" s="12"/>
      <c r="C24" s="12"/>
      <c r="D24" s="12"/>
      <c r="E24" s="12"/>
      <c r="F24" s="12"/>
      <c r="G24" s="12"/>
      <c r="H24" s="12"/>
    </row>
    <row r="25" spans="1:8">
      <c r="A25" s="12"/>
      <c r="B25" s="12"/>
      <c r="C25" s="12"/>
      <c r="D25" s="12"/>
      <c r="E25" s="12"/>
      <c r="F25" s="12"/>
      <c r="G25" s="12"/>
      <c r="H25" s="12"/>
    </row>
    <row r="26" spans="1:8">
      <c r="A26" s="12" t="s">
        <v>14</v>
      </c>
      <c r="B26" s="12"/>
      <c r="C26" s="12"/>
      <c r="D26" s="12"/>
      <c r="E26" s="12"/>
      <c r="F26" s="12"/>
      <c r="G26" s="12"/>
      <c r="H26" s="12"/>
    </row>
    <row r="27" spans="1:8">
      <c r="A27" s="12"/>
      <c r="B27" s="12"/>
      <c r="C27" s="12"/>
      <c r="D27" s="12"/>
      <c r="E27" s="12"/>
      <c r="F27" s="12"/>
      <c r="G27" s="12"/>
      <c r="H27" s="12"/>
    </row>
    <row r="28" spans="1:8">
      <c r="A28" s="12" t="s">
        <v>15</v>
      </c>
      <c r="B28" s="12"/>
      <c r="C28" s="12"/>
      <c r="D28" s="12"/>
      <c r="E28" s="12"/>
      <c r="F28" s="12"/>
      <c r="G28" s="12"/>
      <c r="H28" s="12"/>
    </row>
    <row r="29" spans="1:8">
      <c r="A29" s="12"/>
      <c r="B29" s="12"/>
      <c r="C29" s="12"/>
      <c r="D29" s="12"/>
      <c r="E29" s="12"/>
      <c r="F29" s="12"/>
      <c r="G29" s="12"/>
      <c r="H29" s="12"/>
    </row>
    <row r="30" spans="1:8">
      <c r="A30" s="12"/>
      <c r="B30" s="12"/>
      <c r="C30" s="12"/>
      <c r="D30" s="12"/>
      <c r="E30" s="12"/>
      <c r="F30" s="12"/>
      <c r="G30" s="12"/>
      <c r="H30" s="12"/>
    </row>
    <row r="31" spans="1:8">
      <c r="A31" s="12"/>
      <c r="B31" s="12"/>
      <c r="C31" s="12"/>
      <c r="D31" s="12"/>
      <c r="E31" s="12"/>
      <c r="F31" s="12"/>
      <c r="G31" s="12"/>
      <c r="H31" s="12"/>
    </row>
    <row r="32" spans="1:8">
      <c r="A32" s="12"/>
      <c r="B32" s="12"/>
      <c r="C32" s="12"/>
      <c r="D32" s="12"/>
      <c r="E32" s="12"/>
      <c r="F32" s="12"/>
      <c r="G32" s="12"/>
      <c r="H32" s="12"/>
    </row>
    <row r="33" spans="1:12" ht="15.75" thickBot="1"/>
    <row r="34" spans="1:12" ht="16.5" thickTop="1" thickBot="1">
      <c r="A34" s="53" t="s">
        <v>16</v>
      </c>
      <c r="B34" s="53"/>
      <c r="C34" s="53"/>
      <c r="E34" s="54" t="s">
        <v>17</v>
      </c>
      <c r="F34" s="55"/>
      <c r="G34" s="55"/>
      <c r="H34" s="55"/>
      <c r="I34" s="56"/>
    </row>
    <row r="35" spans="1:12" ht="16.5" thickTop="1" thickBot="1">
      <c r="E35" s="8" t="s">
        <v>18</v>
      </c>
      <c r="F35" s="8"/>
      <c r="G35" s="24" t="s">
        <v>19</v>
      </c>
      <c r="H35" s="24"/>
      <c r="I35" s="24"/>
    </row>
    <row r="36" spans="1:12" ht="16.5" thickTop="1" thickBot="1">
      <c r="E36" s="24" t="s">
        <v>20</v>
      </c>
      <c r="F36" s="24"/>
      <c r="G36" s="24" t="s">
        <v>21</v>
      </c>
      <c r="H36" s="24"/>
      <c r="I36" s="24"/>
    </row>
    <row r="37" spans="1:12" ht="16.5" thickTop="1" thickBot="1">
      <c r="E37" s="24" t="s">
        <v>22</v>
      </c>
      <c r="F37" s="24"/>
      <c r="G37" s="24" t="s">
        <v>23</v>
      </c>
      <c r="H37" s="24"/>
      <c r="I37" s="24"/>
    </row>
    <row r="38" spans="1:12" ht="16.5" thickTop="1" thickBot="1">
      <c r="E38" s="24" t="s">
        <v>24</v>
      </c>
      <c r="F38" s="24"/>
      <c r="G38" s="24" t="s">
        <v>25</v>
      </c>
      <c r="H38" s="24"/>
      <c r="I38" s="24"/>
    </row>
    <row r="39" spans="1:12" ht="15" customHeight="1" thickTop="1" thickBot="1">
      <c r="E39" s="24" t="s">
        <v>26</v>
      </c>
      <c r="F39" s="24"/>
      <c r="G39" s="50" t="s">
        <v>27</v>
      </c>
      <c r="H39" s="50"/>
      <c r="I39" s="50"/>
      <c r="J39" s="1"/>
      <c r="K39" s="1"/>
      <c r="L39" s="1"/>
    </row>
    <row r="40" spans="1:12" ht="16.5" thickTop="1" thickBot="1">
      <c r="E40" s="24"/>
      <c r="F40" s="24"/>
      <c r="G40" s="50"/>
      <c r="H40" s="50"/>
      <c r="I40" s="50"/>
      <c r="J40" s="1"/>
      <c r="K40" s="1"/>
      <c r="L40" s="1"/>
    </row>
    <row r="41" spans="1:12" ht="16.5" thickTop="1" thickBot="1">
      <c r="E41" s="24"/>
      <c r="F41" s="24"/>
      <c r="G41" s="50"/>
      <c r="H41" s="50"/>
      <c r="I41" s="50"/>
    </row>
    <row r="42" spans="1:12" ht="16.5" thickTop="1" thickBot="1">
      <c r="E42" s="24"/>
      <c r="F42" s="24"/>
      <c r="G42" s="50"/>
      <c r="H42" s="50"/>
      <c r="I42" s="50"/>
    </row>
    <row r="43" spans="1:12" ht="15" customHeight="1" thickTop="1" thickBot="1">
      <c r="E43" s="24" t="s">
        <v>28</v>
      </c>
      <c r="F43" s="24"/>
      <c r="G43" s="50" t="s">
        <v>29</v>
      </c>
      <c r="H43" s="50"/>
      <c r="I43" s="50"/>
    </row>
    <row r="44" spans="1:12" ht="16.5" thickTop="1" thickBot="1">
      <c r="E44" s="24"/>
      <c r="F44" s="24"/>
      <c r="G44" s="50"/>
      <c r="H44" s="50"/>
      <c r="I44" s="50"/>
    </row>
    <row r="45" spans="1:12" ht="16.5" thickTop="1" thickBot="1">
      <c r="E45" s="50" t="s">
        <v>30</v>
      </c>
      <c r="F45" s="50"/>
      <c r="G45" s="50" t="s">
        <v>31</v>
      </c>
      <c r="H45" s="50"/>
      <c r="I45" s="50"/>
    </row>
    <row r="46" spans="1:12" ht="16.5" thickTop="1" thickBot="1">
      <c r="E46" s="50"/>
      <c r="F46" s="50"/>
      <c r="G46" s="50"/>
      <c r="H46" s="50"/>
      <c r="I46" s="50"/>
    </row>
    <row r="47" spans="1:12" ht="15.75" thickTop="1"/>
    <row r="51" spans="1:8">
      <c r="A51" s="27" t="s">
        <v>32</v>
      </c>
      <c r="B51" s="27"/>
      <c r="C51" s="27"/>
      <c r="D51" s="27"/>
      <c r="E51" s="27"/>
      <c r="F51" s="27"/>
      <c r="G51" s="27"/>
      <c r="H51" s="27"/>
    </row>
    <row r="52" spans="1:8">
      <c r="A52" s="27"/>
      <c r="B52" s="27"/>
      <c r="C52" s="27"/>
      <c r="D52" s="27"/>
      <c r="E52" s="27"/>
      <c r="F52" s="27"/>
      <c r="G52" s="27"/>
      <c r="H52" s="27"/>
    </row>
    <row r="53" spans="1:8">
      <c r="A53" s="27"/>
      <c r="B53" s="27"/>
      <c r="C53" s="27"/>
      <c r="D53" s="27"/>
      <c r="E53" s="27"/>
      <c r="F53" s="27"/>
      <c r="G53" s="27"/>
      <c r="H53" s="27"/>
    </row>
    <row r="55" spans="1:8">
      <c r="A55" t="s">
        <v>33</v>
      </c>
      <c r="B55">
        <v>2000</v>
      </c>
      <c r="E55" t="s">
        <v>33</v>
      </c>
      <c r="F55">
        <v>2000</v>
      </c>
    </row>
    <row r="56" spans="1:8">
      <c r="A56" t="s">
        <v>34</v>
      </c>
      <c r="B56">
        <f>3.5%</f>
        <v>3.5000000000000003E-2</v>
      </c>
      <c r="E56" t="s">
        <v>34</v>
      </c>
      <c r="F56">
        <f>3.5%</f>
        <v>3.5000000000000003E-2</v>
      </c>
    </row>
    <row r="57" spans="1:8">
      <c r="A57" t="s">
        <v>35</v>
      </c>
      <c r="B57">
        <v>4</v>
      </c>
      <c r="E57" t="s">
        <v>35</v>
      </c>
      <c r="F57">
        <f>4</f>
        <v>4</v>
      </c>
    </row>
    <row r="58" spans="1:8">
      <c r="A58" t="s">
        <v>36</v>
      </c>
      <c r="B58">
        <f>2%</f>
        <v>0.02</v>
      </c>
      <c r="F58" s="2">
        <v>41548</v>
      </c>
    </row>
    <row r="59" spans="1:8">
      <c r="B59" s="2">
        <v>41548</v>
      </c>
      <c r="F59" s="2">
        <v>44378</v>
      </c>
    </row>
    <row r="60" spans="1:8">
      <c r="B60" s="2">
        <v>44378</v>
      </c>
      <c r="E60" t="s">
        <v>105</v>
      </c>
      <c r="F60">
        <f>2%</f>
        <v>0.02</v>
      </c>
    </row>
    <row r="61" spans="1:8">
      <c r="B61">
        <f>PRICE(B59,B60,B56,B58,100,4,1)</f>
        <v>110.74404998697946</v>
      </c>
      <c r="E61" t="s">
        <v>104</v>
      </c>
      <c r="F61" s="83">
        <f>PRICE(F58,F59,F56,F60,100,F57,1)*20</f>
        <v>2214.8809997395892</v>
      </c>
    </row>
    <row r="62" spans="1:8">
      <c r="B62">
        <f>20*B61</f>
        <v>2214.8809997395892</v>
      </c>
      <c r="E62" t="s">
        <v>43</v>
      </c>
      <c r="F62">
        <f>F55*F56</f>
        <v>70</v>
      </c>
    </row>
    <row r="63" spans="1:8">
      <c r="A63" t="s">
        <v>37</v>
      </c>
      <c r="B63">
        <f>B55*B56</f>
        <v>70</v>
      </c>
      <c r="E63" t="s">
        <v>106</v>
      </c>
      <c r="F63">
        <f>F62/F61</f>
        <v>3.1604406741594752E-2</v>
      </c>
    </row>
    <row r="64" spans="1:8">
      <c r="A64" t="s">
        <v>38</v>
      </c>
      <c r="B64">
        <f>B63/B62</f>
        <v>3.1604406741594752E-2</v>
      </c>
      <c r="C64" t="s">
        <v>39</v>
      </c>
    </row>
    <row r="66" spans="1:13" ht="15.6" customHeight="1">
      <c r="A66" s="28" t="s">
        <v>40</v>
      </c>
      <c r="B66" s="28"/>
      <c r="C66" s="28"/>
      <c r="D66" s="28"/>
      <c r="E66" s="28"/>
      <c r="F66" s="28"/>
      <c r="G66" s="28"/>
      <c r="H66" s="28"/>
    </row>
    <row r="67" spans="1:13" ht="15.6" customHeight="1">
      <c r="A67" s="28"/>
      <c r="B67" s="28"/>
      <c r="C67" s="28"/>
      <c r="D67" s="28"/>
      <c r="E67" s="28"/>
      <c r="F67" s="28"/>
      <c r="G67" s="28"/>
      <c r="H67" s="28"/>
    </row>
    <row r="68" spans="1:13" ht="14.45" customHeight="1">
      <c r="A68" s="28"/>
      <c r="B68" s="28"/>
      <c r="C68" s="28"/>
      <c r="D68" s="28"/>
      <c r="E68" s="28"/>
      <c r="F68" s="28"/>
      <c r="G68" s="28"/>
      <c r="H68" s="28"/>
    </row>
    <row r="69" spans="1:13">
      <c r="A69" s="28"/>
      <c r="B69" s="28"/>
      <c r="C69" s="28"/>
      <c r="D69" s="28"/>
      <c r="E69" s="28"/>
      <c r="F69" s="28"/>
      <c r="G69" s="28"/>
      <c r="H69" s="28"/>
    </row>
    <row r="71" spans="1:13">
      <c r="A71" t="s">
        <v>33</v>
      </c>
      <c r="B71">
        <f>1500</f>
        <v>1500</v>
      </c>
      <c r="D71" s="47" t="s">
        <v>41</v>
      </c>
      <c r="E71" s="49"/>
      <c r="F71" s="49"/>
      <c r="G71" s="49"/>
      <c r="H71" s="48"/>
      <c r="K71" t="s">
        <v>33</v>
      </c>
      <c r="L71">
        <f>1500</f>
        <v>1500</v>
      </c>
    </row>
    <row r="72" spans="1:13">
      <c r="A72" t="s">
        <v>34</v>
      </c>
      <c r="B72">
        <f>6%</f>
        <v>0.06</v>
      </c>
      <c r="K72" t="s">
        <v>34</v>
      </c>
      <c r="L72">
        <f>6%</f>
        <v>0.06</v>
      </c>
    </row>
    <row r="73" spans="1:13">
      <c r="A73" t="s">
        <v>36</v>
      </c>
      <c r="B73">
        <f>6.5%</f>
        <v>6.5000000000000002E-2</v>
      </c>
      <c r="K73" t="s">
        <v>35</v>
      </c>
      <c r="L73">
        <f>4</f>
        <v>4</v>
      </c>
    </row>
    <row r="74" spans="1:13">
      <c r="A74" t="s">
        <v>35</v>
      </c>
      <c r="B74">
        <v>4</v>
      </c>
      <c r="L74" s="2">
        <v>43814</v>
      </c>
      <c r="M74" s="2">
        <v>46006</v>
      </c>
    </row>
    <row r="75" spans="1:13">
      <c r="B75" s="2">
        <v>43814</v>
      </c>
      <c r="C75" s="2">
        <v>46006</v>
      </c>
      <c r="D75" s="39" t="s">
        <v>42</v>
      </c>
      <c r="E75" s="40"/>
      <c r="F75" s="40"/>
      <c r="G75" s="40"/>
      <c r="H75" s="40"/>
      <c r="I75" s="41"/>
      <c r="L75" s="2">
        <v>45921</v>
      </c>
    </row>
    <row r="76" spans="1:13">
      <c r="B76" s="2">
        <v>45921</v>
      </c>
      <c r="D76" s="42"/>
      <c r="E76" s="33"/>
      <c r="F76" s="33"/>
      <c r="G76" s="33"/>
      <c r="H76" s="33"/>
      <c r="I76" s="43"/>
      <c r="K76" t="s">
        <v>105</v>
      </c>
      <c r="L76">
        <f>6.5%</f>
        <v>6.5000000000000002E-2</v>
      </c>
    </row>
    <row r="77" spans="1:13">
      <c r="B77">
        <f>PRICE(B75,C75,B72,B73,100,4,1)</f>
        <v>97.532174355908992</v>
      </c>
      <c r="C77">
        <f>15*B77</f>
        <v>1462.9826153386348</v>
      </c>
      <c r="D77" s="44"/>
      <c r="E77" s="45"/>
      <c r="F77" s="45"/>
      <c r="G77" s="45"/>
      <c r="H77" s="45"/>
      <c r="I77" s="46"/>
      <c r="K77" t="s">
        <v>104</v>
      </c>
      <c r="L77" s="83">
        <f>PRICE(L74,M74,L72,L76,100,L73,1)*15</f>
        <v>1462.9826153386348</v>
      </c>
    </row>
    <row r="78" spans="1:13">
      <c r="A78" t="s">
        <v>43</v>
      </c>
      <c r="B78">
        <f>B71*B72</f>
        <v>90</v>
      </c>
      <c r="K78" t="s">
        <v>43</v>
      </c>
      <c r="L78">
        <f>L71*L72</f>
        <v>90</v>
      </c>
    </row>
    <row r="79" spans="1:13" ht="15" customHeight="1">
      <c r="A79" t="s">
        <v>44</v>
      </c>
      <c r="B79" s="2">
        <v>45921</v>
      </c>
      <c r="C79" s="2">
        <v>46006</v>
      </c>
      <c r="D79">
        <f>C79-B79</f>
        <v>85</v>
      </c>
      <c r="F79" s="39" t="s">
        <v>45</v>
      </c>
      <c r="G79" s="40"/>
      <c r="H79" s="40"/>
      <c r="I79" s="40"/>
      <c r="J79" s="41"/>
      <c r="K79" s="2">
        <v>45915</v>
      </c>
      <c r="L79" s="2">
        <v>46006</v>
      </c>
      <c r="M79">
        <f>L79-K79+1</f>
        <v>92</v>
      </c>
    </row>
    <row r="80" spans="1:13">
      <c r="A80" t="s">
        <v>46</v>
      </c>
      <c r="B80" s="2">
        <v>45915</v>
      </c>
      <c r="C80" s="2">
        <v>46006</v>
      </c>
      <c r="D80">
        <f>C80-B80</f>
        <v>91</v>
      </c>
      <c r="E80">
        <f>D80+1</f>
        <v>92</v>
      </c>
      <c r="F80" s="42"/>
      <c r="G80" s="33"/>
      <c r="H80" s="33"/>
      <c r="I80" s="33"/>
      <c r="J80" s="43"/>
      <c r="K80" s="2">
        <v>45921</v>
      </c>
      <c r="L80" s="2">
        <v>46006</v>
      </c>
      <c r="M80">
        <f>L80-K80</f>
        <v>85</v>
      </c>
    </row>
    <row r="81" spans="1:12">
      <c r="A81" t="s">
        <v>47</v>
      </c>
      <c r="B81">
        <f>(D79/E80)*(B78/B74)</f>
        <v>20.788043478260871</v>
      </c>
      <c r="F81" s="44"/>
      <c r="G81" s="45"/>
      <c r="H81" s="45"/>
      <c r="I81" s="45"/>
      <c r="J81" s="46"/>
      <c r="K81" t="s">
        <v>47</v>
      </c>
      <c r="L81">
        <f>(M80/M79)*(L78/L73)</f>
        <v>20.788043478260871</v>
      </c>
    </row>
    <row r="82" spans="1:12">
      <c r="A82" t="s">
        <v>48</v>
      </c>
      <c r="B82">
        <f>C77+B81</f>
        <v>1483.7706588168955</v>
      </c>
      <c r="C82" s="47" t="s">
        <v>49</v>
      </c>
      <c r="D82" s="48"/>
      <c r="K82" t="s">
        <v>107</v>
      </c>
      <c r="L82">
        <f>L81+L77</f>
        <v>1483.7706588168955</v>
      </c>
    </row>
    <row r="83" spans="1:12">
      <c r="C83" s="9"/>
      <c r="D83" s="9"/>
    </row>
    <row r="84" spans="1:12">
      <c r="A84" s="38" t="s">
        <v>50</v>
      </c>
      <c r="B84" s="38"/>
      <c r="C84" s="38"/>
      <c r="D84" s="38"/>
      <c r="E84" s="38"/>
      <c r="F84" s="38"/>
      <c r="G84" s="38"/>
    </row>
    <row r="85" spans="1:12">
      <c r="A85" s="38"/>
      <c r="B85" s="38"/>
      <c r="C85" s="38"/>
      <c r="D85" s="38"/>
      <c r="E85" s="38"/>
      <c r="F85" s="38"/>
      <c r="G85" s="38"/>
    </row>
    <row r="86" spans="1:12">
      <c r="A86" s="38"/>
      <c r="B86" s="38"/>
      <c r="C86" s="38"/>
      <c r="D86" s="38"/>
      <c r="E86" s="38"/>
      <c r="F86" s="38"/>
      <c r="G86" s="38"/>
    </row>
    <row r="87" spans="1:12">
      <c r="A87" s="38"/>
      <c r="B87" s="38"/>
      <c r="C87" s="38"/>
      <c r="D87" s="38"/>
      <c r="E87" s="38"/>
      <c r="F87" s="38"/>
      <c r="G87" s="38"/>
    </row>
    <row r="88" spans="1:12">
      <c r="C88" s="9"/>
      <c r="D88" s="9"/>
    </row>
    <row r="89" spans="1:12" ht="15.75" thickBot="1">
      <c r="C89" s="9"/>
      <c r="D89" s="9"/>
    </row>
    <row r="90" spans="1:12" ht="15.75" thickTop="1">
      <c r="C90" s="9"/>
      <c r="D90" s="9"/>
      <c r="E90" s="29" t="s">
        <v>51</v>
      </c>
      <c r="F90" s="30"/>
      <c r="G90" s="31"/>
    </row>
    <row r="91" spans="1:12">
      <c r="C91" s="9"/>
      <c r="D91" s="9"/>
      <c r="E91" s="32"/>
      <c r="F91" s="33"/>
      <c r="G91" s="34"/>
    </row>
    <row r="92" spans="1:12">
      <c r="C92" s="9"/>
      <c r="D92" s="9"/>
      <c r="E92" s="32"/>
      <c r="F92" s="33"/>
      <c r="G92" s="34"/>
    </row>
    <row r="93" spans="1:12" ht="15.75" thickBot="1">
      <c r="C93" s="9"/>
      <c r="D93" s="9"/>
      <c r="E93" s="35"/>
      <c r="F93" s="36"/>
      <c r="G93" s="37"/>
    </row>
    <row r="94" spans="1:12" ht="15.75" thickTop="1">
      <c r="C94" s="9"/>
      <c r="D94" s="9"/>
    </row>
    <row r="95" spans="1:12">
      <c r="C95" s="9"/>
      <c r="D95" s="9"/>
    </row>
    <row r="96" spans="1:12">
      <c r="C96" s="9"/>
      <c r="D96" s="9"/>
    </row>
    <row r="98" spans="1:8">
      <c r="A98" s="27" t="s">
        <v>52</v>
      </c>
      <c r="B98" s="27"/>
      <c r="C98" s="27"/>
      <c r="D98" s="27"/>
      <c r="E98" s="27"/>
      <c r="F98" s="27"/>
      <c r="G98" s="27"/>
      <c r="H98" s="27"/>
    </row>
    <row r="99" spans="1:8">
      <c r="A99" s="27"/>
      <c r="B99" s="27"/>
      <c r="C99" s="27"/>
      <c r="D99" s="27"/>
      <c r="E99" s="27"/>
      <c r="F99" s="27"/>
      <c r="G99" s="27"/>
      <c r="H99" s="27"/>
    </row>
    <row r="100" spans="1:8">
      <c r="A100" s="27"/>
      <c r="B100" s="27"/>
      <c r="C100" s="27"/>
      <c r="D100" s="27"/>
      <c r="E100" s="27"/>
      <c r="F100" s="27"/>
      <c r="G100" s="27"/>
      <c r="H100" s="27"/>
    </row>
    <row r="101" spans="1:8">
      <c r="A101" t="s">
        <v>33</v>
      </c>
      <c r="B101">
        <v>1000</v>
      </c>
      <c r="D101" t="s">
        <v>33</v>
      </c>
      <c r="E101">
        <f>1000</f>
        <v>1000</v>
      </c>
    </row>
    <row r="102" spans="1:8">
      <c r="A102" t="s">
        <v>34</v>
      </c>
      <c r="B102">
        <f>7%</f>
        <v>7.0000000000000007E-2</v>
      </c>
      <c r="D102" t="s">
        <v>35</v>
      </c>
      <c r="E102">
        <f>2</f>
        <v>2</v>
      </c>
    </row>
    <row r="103" spans="1:8">
      <c r="A103" t="s">
        <v>36</v>
      </c>
      <c r="B103" s="3">
        <v>0.05</v>
      </c>
      <c r="D103" t="s">
        <v>34</v>
      </c>
      <c r="E103">
        <f>7%</f>
        <v>7.0000000000000007E-2</v>
      </c>
    </row>
    <row r="104" spans="1:8">
      <c r="A104" t="s">
        <v>35</v>
      </c>
      <c r="B104">
        <v>2</v>
      </c>
      <c r="E104" s="2">
        <v>41410</v>
      </c>
    </row>
    <row r="105" spans="1:8">
      <c r="B105" s="2">
        <v>44697</v>
      </c>
      <c r="E105" s="2">
        <v>44697</v>
      </c>
    </row>
    <row r="106" spans="1:8">
      <c r="B106" s="2">
        <v>41410</v>
      </c>
      <c r="D106" t="s">
        <v>105</v>
      </c>
      <c r="E106">
        <f>5%</f>
        <v>0.05</v>
      </c>
    </row>
    <row r="107" spans="1:8">
      <c r="A107" t="s">
        <v>53</v>
      </c>
      <c r="B107">
        <f>DURATION(B106,B105,B102,B103,2,1)</f>
        <v>6.9874124161242479</v>
      </c>
      <c r="D107" t="s">
        <v>53</v>
      </c>
      <c r="E107">
        <f>DURATION(E104,E105,E103,E106,E102,1)</f>
        <v>6.9874124161242479</v>
      </c>
    </row>
    <row r="109" spans="1:8">
      <c r="A109" s="27" t="s">
        <v>54</v>
      </c>
      <c r="B109" s="27"/>
      <c r="C109" s="27"/>
      <c r="D109" s="27"/>
      <c r="E109" s="27"/>
      <c r="F109" s="27"/>
      <c r="G109" s="27"/>
      <c r="H109" s="27"/>
    </row>
    <row r="110" spans="1:8">
      <c r="A110" s="27"/>
      <c r="B110" s="27"/>
      <c r="C110" s="27"/>
      <c r="D110" s="27"/>
      <c r="E110" s="27"/>
      <c r="F110" s="27"/>
      <c r="G110" s="27"/>
      <c r="H110" s="27"/>
    </row>
    <row r="111" spans="1:8">
      <c r="A111" s="27"/>
      <c r="B111" s="27"/>
      <c r="C111" s="27"/>
      <c r="D111" s="27"/>
      <c r="E111" s="27"/>
      <c r="F111" s="27"/>
      <c r="G111" s="27"/>
      <c r="H111" s="27"/>
    </row>
    <row r="113" spans="1:8">
      <c r="B113" s="2">
        <v>43600</v>
      </c>
      <c r="E113" s="2">
        <v>43600</v>
      </c>
    </row>
    <row r="114" spans="1:8">
      <c r="B114" s="2">
        <v>43966</v>
      </c>
      <c r="E114" s="2">
        <v>43966</v>
      </c>
    </row>
    <row r="115" spans="1:8">
      <c r="A115" t="s">
        <v>36</v>
      </c>
      <c r="B115">
        <f>6%</f>
        <v>0.06</v>
      </c>
      <c r="D115" t="s">
        <v>105</v>
      </c>
      <c r="E115">
        <f>6%</f>
        <v>0.06</v>
      </c>
    </row>
    <row r="116" spans="1:8">
      <c r="A116" t="s">
        <v>34</v>
      </c>
      <c r="B116" s="3">
        <v>0.01</v>
      </c>
      <c r="D116" t="s">
        <v>34</v>
      </c>
      <c r="E116">
        <f>1%</f>
        <v>0.01</v>
      </c>
    </row>
    <row r="117" spans="1:8">
      <c r="A117" t="s">
        <v>35</v>
      </c>
      <c r="B117">
        <v>4</v>
      </c>
      <c r="D117" t="s">
        <v>35</v>
      </c>
      <c r="E117">
        <f>4</f>
        <v>4</v>
      </c>
    </row>
    <row r="118" spans="1:8">
      <c r="A118" t="s">
        <v>53</v>
      </c>
      <c r="B118">
        <f>DURATION(B113,B114,B116,B115,B117,1)</f>
        <v>0.99615650521138144</v>
      </c>
      <c r="D118" t="s">
        <v>53</v>
      </c>
      <c r="E118">
        <f>DURATION(E113,E114,E116,E115,E117)</f>
        <v>0.99615650521138144</v>
      </c>
    </row>
    <row r="120" spans="1:8" ht="14.45" customHeight="1">
      <c r="A120" s="27" t="s">
        <v>55</v>
      </c>
      <c r="B120" s="27"/>
      <c r="C120" s="27"/>
      <c r="D120" s="27"/>
      <c r="E120" s="27"/>
      <c r="F120" s="27"/>
      <c r="G120" s="27"/>
      <c r="H120" s="27"/>
    </row>
    <row r="121" spans="1:8">
      <c r="A121" s="27"/>
      <c r="B121" s="27"/>
      <c r="C121" s="27"/>
      <c r="D121" s="27"/>
      <c r="E121" s="27"/>
      <c r="F121" s="27"/>
      <c r="G121" s="27"/>
      <c r="H121" s="27"/>
    </row>
    <row r="122" spans="1:8">
      <c r="A122" s="27"/>
      <c r="B122" s="27"/>
      <c r="C122" s="27"/>
      <c r="D122" s="27"/>
      <c r="E122" s="27"/>
      <c r="F122" s="27"/>
      <c r="G122" s="27"/>
      <c r="H122" s="27"/>
    </row>
    <row r="123" spans="1:8">
      <c r="A123" s="1"/>
      <c r="B123" s="1"/>
      <c r="C123" s="1"/>
      <c r="D123" s="1"/>
      <c r="E123" s="1"/>
      <c r="F123" s="1" t="s">
        <v>35</v>
      </c>
      <c r="G123" s="1">
        <f>4</f>
        <v>4</v>
      </c>
      <c r="H123" s="1"/>
    </row>
    <row r="124" spans="1:8">
      <c r="A124" t="s">
        <v>34</v>
      </c>
      <c r="B124">
        <f>0.056</f>
        <v>5.6000000000000001E-2</v>
      </c>
      <c r="F124" t="s">
        <v>33</v>
      </c>
      <c r="G124">
        <f>100</f>
        <v>100</v>
      </c>
    </row>
    <row r="125" spans="1:8">
      <c r="A125" t="s">
        <v>36</v>
      </c>
      <c r="B125">
        <v>0.04</v>
      </c>
      <c r="F125" t="s">
        <v>34</v>
      </c>
      <c r="G125">
        <f>0.056</f>
        <v>5.6000000000000001E-2</v>
      </c>
    </row>
    <row r="126" spans="1:8">
      <c r="B126" s="2">
        <v>40691</v>
      </c>
      <c r="G126" s="2">
        <v>40691</v>
      </c>
    </row>
    <row r="127" spans="1:8">
      <c r="B127" s="2">
        <v>46262</v>
      </c>
      <c r="G127" s="2">
        <v>46262</v>
      </c>
    </row>
    <row r="128" spans="1:8">
      <c r="A128" t="s">
        <v>35</v>
      </c>
      <c r="B128">
        <v>4</v>
      </c>
      <c r="F128" t="s">
        <v>105</v>
      </c>
      <c r="G128">
        <f>4%</f>
        <v>0.04</v>
      </c>
    </row>
    <row r="129" spans="1:7">
      <c r="A129" t="s">
        <v>53</v>
      </c>
      <c r="B129">
        <f>DURATION(B126,B127,B124,B125,4,1)</f>
        <v>10.795062707099445</v>
      </c>
      <c r="F129" t="s">
        <v>58</v>
      </c>
      <c r="G129">
        <f>MDURATION(G126,G127,G125,G128,G123)</f>
        <v>10.688180898118263</v>
      </c>
    </row>
    <row r="130" spans="1:7">
      <c r="A130" s="26" t="s">
        <v>56</v>
      </c>
      <c r="B130" s="26"/>
      <c r="C130" s="26"/>
      <c r="D130" s="26"/>
      <c r="E130" s="26"/>
    </row>
    <row r="131" spans="1:7">
      <c r="A131" s="26"/>
      <c r="B131" s="26"/>
      <c r="C131" s="26"/>
      <c r="D131" s="26"/>
      <c r="E131" s="26"/>
    </row>
    <row r="132" spans="1:7">
      <c r="A132" s="26"/>
      <c r="B132" s="26"/>
      <c r="C132" s="26"/>
      <c r="D132" s="26"/>
      <c r="E132" s="26"/>
    </row>
    <row r="133" spans="1:7">
      <c r="A133" s="11" t="s">
        <v>57</v>
      </c>
      <c r="B133" s="11"/>
      <c r="C133" s="11"/>
      <c r="D133" s="11"/>
      <c r="E133" s="11"/>
    </row>
    <row r="134" spans="1:7">
      <c r="A134" s="10" t="s">
        <v>58</v>
      </c>
      <c r="B134" s="10">
        <f>B129/(1+B125/B128)</f>
        <v>10.688180898118263</v>
      </c>
    </row>
    <row r="135" spans="1:7" ht="15" customHeight="1">
      <c r="A135" s="25" t="s">
        <v>59</v>
      </c>
      <c r="B135" s="25"/>
      <c r="C135" s="25"/>
      <c r="D135" s="25"/>
      <c r="E135" s="25"/>
    </row>
    <row r="136" spans="1:7">
      <c r="A136" s="25"/>
      <c r="B136" s="25"/>
      <c r="C136" s="25"/>
      <c r="D136" s="25"/>
      <c r="E136" s="25"/>
    </row>
    <row r="137" spans="1:7">
      <c r="A137" s="10" t="s">
        <v>58</v>
      </c>
      <c r="B137" s="10">
        <f>MDURATION(B126,B127,B124,B125,B128,1)</f>
        <v>10.688180898118263</v>
      </c>
    </row>
  </sheetData>
  <mergeCells count="30">
    <mergeCell ref="A1:H1"/>
    <mergeCell ref="A18:G20"/>
    <mergeCell ref="A51:H53"/>
    <mergeCell ref="A34:C34"/>
    <mergeCell ref="G39:I42"/>
    <mergeCell ref="E36:F36"/>
    <mergeCell ref="E37:F37"/>
    <mergeCell ref="E38:F38"/>
    <mergeCell ref="E34:I34"/>
    <mergeCell ref="G35:I35"/>
    <mergeCell ref="G36:I36"/>
    <mergeCell ref="G37:I37"/>
    <mergeCell ref="G38:I38"/>
    <mergeCell ref="E45:F46"/>
    <mergeCell ref="E39:F42"/>
    <mergeCell ref="G43:I44"/>
    <mergeCell ref="E43:F44"/>
    <mergeCell ref="A135:E136"/>
    <mergeCell ref="A130:E132"/>
    <mergeCell ref="A120:H122"/>
    <mergeCell ref="A66:H69"/>
    <mergeCell ref="A98:H100"/>
    <mergeCell ref="A109:H111"/>
    <mergeCell ref="E90:G93"/>
    <mergeCell ref="A84:G87"/>
    <mergeCell ref="D75:I77"/>
    <mergeCell ref="C82:D82"/>
    <mergeCell ref="F79:J81"/>
    <mergeCell ref="D71:H71"/>
    <mergeCell ref="G45:I4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8"/>
  <sheetViews>
    <sheetView tabSelected="1" topLeftCell="A22" zoomScale="180" zoomScaleNormal="180" workbookViewId="0">
      <selection activeCell="L59" sqref="L59"/>
    </sheetView>
  </sheetViews>
  <sheetFormatPr defaultRowHeight="15"/>
  <cols>
    <col min="2" max="2" width="14.140625" customWidth="1"/>
    <col min="4" max="4" width="10.28515625" bestFit="1" customWidth="1"/>
    <col min="5" max="5" width="10.5703125" customWidth="1"/>
    <col min="6" max="6" width="12.28515625" bestFit="1" customWidth="1"/>
    <col min="8" max="8" width="11" customWidth="1"/>
    <col min="13" max="13" width="12.5703125" customWidth="1"/>
    <col min="16" max="16" width="13.140625" customWidth="1"/>
    <col min="19" max="19" width="11.85546875" customWidth="1"/>
  </cols>
  <sheetData>
    <row r="1" spans="1:18">
      <c r="A1" s="68" t="s">
        <v>60</v>
      </c>
      <c r="B1" s="69"/>
      <c r="C1" s="69"/>
      <c r="D1" s="69"/>
      <c r="E1" s="69"/>
      <c r="F1" s="69"/>
      <c r="G1" s="69"/>
      <c r="H1" s="69"/>
      <c r="I1" s="70"/>
    </row>
    <row r="2" spans="1:18">
      <c r="A2" s="71"/>
      <c r="B2" s="72"/>
      <c r="C2" s="72"/>
      <c r="D2" s="72"/>
      <c r="E2" s="72"/>
      <c r="F2" s="72"/>
      <c r="G2" s="72"/>
      <c r="H2" s="72"/>
      <c r="I2" s="73"/>
    </row>
    <row r="3" spans="1:18" ht="15.75" customHeight="1">
      <c r="A3" s="74" t="s">
        <v>61</v>
      </c>
      <c r="B3" s="75"/>
      <c r="C3" s="15"/>
      <c r="D3" s="15"/>
      <c r="E3" s="15"/>
      <c r="F3" s="15"/>
      <c r="G3" s="15"/>
      <c r="H3" s="15"/>
      <c r="I3" s="16"/>
    </row>
    <row r="4" spans="1:18" ht="15.75">
      <c r="A4" s="78"/>
      <c r="B4" s="79"/>
      <c r="C4" s="19"/>
      <c r="D4" s="19"/>
      <c r="E4" s="19"/>
      <c r="F4" s="19"/>
      <c r="G4" s="19"/>
      <c r="H4" s="19"/>
      <c r="I4" s="20"/>
    </row>
    <row r="5" spans="1:18" ht="15.75">
      <c r="A5" s="78"/>
      <c r="B5" s="79"/>
      <c r="C5" s="19"/>
      <c r="D5" s="19"/>
      <c r="E5" s="19"/>
      <c r="F5" s="19"/>
      <c r="G5" s="19"/>
      <c r="H5" s="19"/>
      <c r="I5" s="20"/>
    </row>
    <row r="6" spans="1:18" ht="15.75">
      <c r="A6" s="74" t="s">
        <v>62</v>
      </c>
      <c r="B6" s="75"/>
      <c r="C6" s="17"/>
      <c r="D6" s="17"/>
      <c r="E6" s="17"/>
      <c r="F6" s="17"/>
      <c r="G6" s="17"/>
      <c r="H6" s="17"/>
      <c r="I6" s="16"/>
    </row>
    <row r="7" spans="1:18" ht="15.75">
      <c r="A7" s="76"/>
      <c r="B7" s="77"/>
      <c r="C7" s="18"/>
      <c r="D7" s="18"/>
      <c r="E7" s="18"/>
      <c r="F7" s="18"/>
      <c r="G7" s="18"/>
      <c r="H7" s="18"/>
      <c r="I7" s="21"/>
    </row>
    <row r="9" spans="1:18" ht="14.45" customHeight="1">
      <c r="A9" s="27" t="s">
        <v>63</v>
      </c>
      <c r="B9" s="27"/>
      <c r="C9" s="27"/>
      <c r="D9" s="27"/>
      <c r="E9" s="27"/>
      <c r="F9" s="27"/>
      <c r="G9" s="27"/>
      <c r="H9" s="27"/>
      <c r="I9" s="27"/>
    </row>
    <row r="10" spans="1:18">
      <c r="A10" s="27"/>
      <c r="B10" s="27"/>
      <c r="C10" s="27"/>
      <c r="D10" s="27"/>
      <c r="E10" s="27"/>
      <c r="F10" s="27"/>
      <c r="G10" s="27"/>
      <c r="H10" s="27"/>
      <c r="I10" s="27"/>
    </row>
    <row r="11" spans="1:18">
      <c r="A11" s="27"/>
      <c r="B11" s="27"/>
      <c r="C11" s="27"/>
      <c r="D11" s="27"/>
      <c r="E11" s="27"/>
      <c r="F11" s="27"/>
      <c r="G11" s="27"/>
      <c r="H11" s="27"/>
      <c r="I11" s="27"/>
    </row>
    <row r="12" spans="1:18">
      <c r="A12" s="27"/>
      <c r="B12" s="27"/>
      <c r="C12" s="27"/>
      <c r="D12" s="27"/>
      <c r="E12" s="27"/>
      <c r="F12" s="27"/>
      <c r="G12" s="27"/>
      <c r="H12" s="27"/>
      <c r="I12" s="27"/>
    </row>
    <row r="13" spans="1:18">
      <c r="A13" s="27"/>
      <c r="B13" s="27"/>
      <c r="C13" s="27"/>
      <c r="D13" s="27"/>
      <c r="E13" s="27"/>
      <c r="F13" s="27"/>
      <c r="G13" s="27"/>
      <c r="H13" s="27"/>
      <c r="I13" s="27"/>
    </row>
    <row r="14" spans="1:18">
      <c r="A14" s="27"/>
      <c r="B14" s="27"/>
      <c r="C14" s="27"/>
      <c r="D14" s="27"/>
      <c r="E14" s="27"/>
      <c r="F14" s="27"/>
      <c r="G14" s="27"/>
      <c r="H14" s="27"/>
      <c r="I14" s="27"/>
    </row>
    <row r="16" spans="1:18">
      <c r="A16" s="14" t="s">
        <v>64</v>
      </c>
      <c r="D16" s="14" t="s">
        <v>65</v>
      </c>
      <c r="G16" s="14" t="s">
        <v>43</v>
      </c>
      <c r="L16" s="14" t="s">
        <v>64</v>
      </c>
      <c r="O16" s="14" t="s">
        <v>65</v>
      </c>
      <c r="R16" s="14" t="s">
        <v>43</v>
      </c>
    </row>
    <row r="17" spans="1:20">
      <c r="A17" t="s">
        <v>35</v>
      </c>
      <c r="B17">
        <f>1</f>
        <v>1</v>
      </c>
      <c r="D17" t="s">
        <v>35</v>
      </c>
      <c r="E17">
        <f>2</f>
        <v>2</v>
      </c>
      <c r="G17" t="s">
        <v>35</v>
      </c>
      <c r="H17">
        <f>1</f>
        <v>1</v>
      </c>
      <c r="L17" t="s">
        <v>66</v>
      </c>
      <c r="M17">
        <v>1500</v>
      </c>
      <c r="O17" t="s">
        <v>67</v>
      </c>
      <c r="P17">
        <v>2000</v>
      </c>
      <c r="R17" t="s">
        <v>68</v>
      </c>
      <c r="S17">
        <v>1000</v>
      </c>
    </row>
    <row r="18" spans="1:20">
      <c r="A18" t="s">
        <v>112</v>
      </c>
      <c r="B18">
        <f>1500</f>
        <v>1500</v>
      </c>
      <c r="D18" t="s">
        <v>113</v>
      </c>
      <c r="E18" s="83">
        <f>2000</f>
        <v>2000</v>
      </c>
      <c r="G18" t="s">
        <v>114</v>
      </c>
      <c r="H18" s="83">
        <f>1000</f>
        <v>1000</v>
      </c>
      <c r="L18" t="s">
        <v>34</v>
      </c>
      <c r="M18">
        <f>7%</f>
        <v>7.0000000000000007E-2</v>
      </c>
      <c r="O18" t="s">
        <v>34</v>
      </c>
      <c r="P18" s="3">
        <v>0.06</v>
      </c>
      <c r="R18" t="s">
        <v>34</v>
      </c>
      <c r="S18" s="6">
        <v>7.4999999999999997E-2</v>
      </c>
    </row>
    <row r="19" spans="1:20">
      <c r="A19" s="4" t="s">
        <v>34</v>
      </c>
      <c r="B19" s="4">
        <f>7%</f>
        <v>7.0000000000000007E-2</v>
      </c>
      <c r="C19" s="4"/>
      <c r="D19" s="4" t="s">
        <v>34</v>
      </c>
      <c r="E19" s="4">
        <f>6%</f>
        <v>0.06</v>
      </c>
      <c r="F19" s="4"/>
      <c r="G19" s="4" t="s">
        <v>34</v>
      </c>
      <c r="H19" s="4">
        <f>7.5%</f>
        <v>7.4999999999999997E-2</v>
      </c>
      <c r="I19" s="4"/>
      <c r="J19" s="4"/>
      <c r="L19" s="4" t="s">
        <v>36</v>
      </c>
      <c r="M19" s="4">
        <f>6.8%</f>
        <v>6.8000000000000005E-2</v>
      </c>
      <c r="N19" s="4"/>
      <c r="O19" s="4"/>
      <c r="P19" s="4"/>
      <c r="Q19" s="4"/>
      <c r="R19" s="4"/>
      <c r="S19" s="4"/>
      <c r="T19" s="4"/>
    </row>
    <row r="20" spans="1:20">
      <c r="B20" s="2">
        <v>43911</v>
      </c>
      <c r="E20" s="2">
        <v>43911</v>
      </c>
      <c r="H20" s="2">
        <v>43911</v>
      </c>
      <c r="L20" t="s">
        <v>35</v>
      </c>
      <c r="M20">
        <v>1</v>
      </c>
      <c r="O20" t="s">
        <v>35</v>
      </c>
      <c r="P20">
        <v>2</v>
      </c>
      <c r="R20" t="s">
        <v>35</v>
      </c>
      <c r="S20">
        <v>1</v>
      </c>
    </row>
    <row r="21" spans="1:20">
      <c r="B21" s="2">
        <v>45006</v>
      </c>
      <c r="E21" s="2">
        <v>46286</v>
      </c>
      <c r="H21" s="2">
        <v>44641</v>
      </c>
      <c r="M21" s="2">
        <v>45006</v>
      </c>
      <c r="P21" s="2">
        <v>46286</v>
      </c>
      <c r="S21" s="2">
        <v>44641</v>
      </c>
    </row>
    <row r="22" spans="1:20">
      <c r="A22" t="s">
        <v>105</v>
      </c>
      <c r="B22" s="83">
        <f>6.8%</f>
        <v>6.8000000000000005E-2</v>
      </c>
      <c r="D22" t="s">
        <v>105</v>
      </c>
      <c r="E22" s="83">
        <f>0.068</f>
        <v>6.8000000000000005E-2</v>
      </c>
      <c r="G22" t="s">
        <v>105</v>
      </c>
      <c r="H22" s="83">
        <f>0.068</f>
        <v>6.8000000000000005E-2</v>
      </c>
      <c r="M22" s="2">
        <v>43911</v>
      </c>
      <c r="P22" s="2">
        <v>43911</v>
      </c>
      <c r="S22" s="2">
        <v>43911</v>
      </c>
    </row>
    <row r="23" spans="1:20">
      <c r="A23" s="5" t="s">
        <v>108</v>
      </c>
      <c r="B23" s="83">
        <f>PRICE(B20,B21,B19,B22,100,B17,1)*15</f>
        <v>1507.9018052960876</v>
      </c>
      <c r="D23" s="5" t="s">
        <v>110</v>
      </c>
      <c r="E23" s="83">
        <f>PRICE(E20,E21,E19,E22,100,E17,1)*20</f>
        <v>1917.0564462764451</v>
      </c>
      <c r="G23" s="5" t="s">
        <v>115</v>
      </c>
      <c r="H23" s="83">
        <f>PRICE(H20,H21,H19,H22,100,H17,1)*10</f>
        <v>1012.691298797851</v>
      </c>
      <c r="L23" s="5" t="s">
        <v>69</v>
      </c>
      <c r="M23">
        <f>PRICE(M22,M21,M18,M19,100,M20,1)</f>
        <v>100.52678701973917</v>
      </c>
      <c r="N23">
        <f>15*M23</f>
        <v>1507.9018052960876</v>
      </c>
      <c r="O23" s="5" t="s">
        <v>70</v>
      </c>
      <c r="P23">
        <f>PRICE(P22,P21,P18,M19,100,P20,1)</f>
        <v>95.852822313822259</v>
      </c>
      <c r="Q23">
        <f>20*P23</f>
        <v>1917.0564462764451</v>
      </c>
      <c r="R23" s="5" t="s">
        <v>71</v>
      </c>
      <c r="S23">
        <f>PRICE(S22,S21,S18,M19,100,S20,1)</f>
        <v>101.2691298797851</v>
      </c>
      <c r="T23">
        <f>10*S23</f>
        <v>1012.691298797851</v>
      </c>
    </row>
    <row r="24" spans="1:20">
      <c r="A24" s="5" t="s">
        <v>109</v>
      </c>
      <c r="B24">
        <f>DURATION(B20,B21,B19,B22,B17)</f>
        <v>2.8085524616421211</v>
      </c>
      <c r="D24" s="5" t="s">
        <v>111</v>
      </c>
      <c r="E24">
        <f>DURATION(E20,E21,E19,E22,E17)</f>
        <v>5.4508061485166248</v>
      </c>
      <c r="G24" s="5" t="s">
        <v>116</v>
      </c>
      <c r="H24">
        <f>DURATION(H20,H21,H19,H22,H17)</f>
        <v>1.9306553545147607</v>
      </c>
      <c r="L24" s="5" t="s">
        <v>72</v>
      </c>
      <c r="M24">
        <f>DURATION(M22,M21,M18,M19,M20,M20)</f>
        <v>2.8085524616421211</v>
      </c>
      <c r="O24" s="5" t="s">
        <v>73</v>
      </c>
      <c r="P24">
        <f>DURATION(P22,P21,P18,M19,P20,1)</f>
        <v>5.4508061485166248</v>
      </c>
      <c r="R24" s="5" t="s">
        <v>74</v>
      </c>
      <c r="S24">
        <f>DURATION(S22,S21,S18,M19,S20,1)</f>
        <v>1.9306553545147607</v>
      </c>
    </row>
    <row r="26" spans="1:20">
      <c r="A26" s="66" t="s">
        <v>104</v>
      </c>
      <c r="B26" s="66"/>
      <c r="C26">
        <f>B23*2+E23*3+H23</f>
        <v>9779.6642482193602</v>
      </c>
      <c r="L26" s="66" t="s">
        <v>75</v>
      </c>
      <c r="M26" s="66"/>
      <c r="N26">
        <f>2*N23+3*Q23+T23</f>
        <v>9779.6642482193602</v>
      </c>
    </row>
    <row r="27" spans="1:20">
      <c r="A27" s="67"/>
      <c r="B27" s="67"/>
      <c r="L27" s="67" t="s">
        <v>76</v>
      </c>
      <c r="M27" s="67"/>
      <c r="N27">
        <f>2*N23*M24+3*Q23*P24+T23*S24</f>
        <v>41773.709726103662</v>
      </c>
    </row>
    <row r="28" spans="1:20">
      <c r="A28" s="5" t="s">
        <v>53</v>
      </c>
      <c r="B28" s="7">
        <f>(B23*2*B24+E23*E24*3+H23*H24)/C26</f>
        <v>4.2714871048573722</v>
      </c>
      <c r="L28" s="5" t="s">
        <v>53</v>
      </c>
      <c r="M28" s="7">
        <f>N27/N26</f>
        <v>4.2714871048573722</v>
      </c>
    </row>
    <row r="30" spans="1:20" ht="14.45" customHeight="1">
      <c r="A30" s="27" t="s">
        <v>77</v>
      </c>
      <c r="B30" s="27"/>
      <c r="C30" s="27"/>
      <c r="D30" s="27"/>
      <c r="E30" s="27"/>
      <c r="F30" s="27"/>
      <c r="G30" s="27"/>
      <c r="H30" s="27"/>
      <c r="I30" s="27"/>
    </row>
    <row r="31" spans="1:20">
      <c r="A31" s="27"/>
      <c r="B31" s="27"/>
      <c r="C31" s="27"/>
      <c r="D31" s="27"/>
      <c r="E31" s="27"/>
      <c r="F31" s="27"/>
      <c r="G31" s="27"/>
      <c r="H31" s="27"/>
      <c r="I31" s="27"/>
    </row>
    <row r="32" spans="1:20">
      <c r="A32" s="27"/>
      <c r="B32" s="27"/>
      <c r="C32" s="27"/>
      <c r="D32" s="27"/>
      <c r="E32" s="27"/>
      <c r="F32" s="27"/>
      <c r="G32" s="27"/>
      <c r="H32" s="27"/>
      <c r="I32" s="27"/>
    </row>
    <row r="33" spans="1:12">
      <c r="A33" s="27"/>
      <c r="B33" s="27"/>
      <c r="C33" s="27"/>
      <c r="D33" s="27"/>
      <c r="E33" s="27"/>
      <c r="F33" s="27"/>
      <c r="G33" s="27"/>
      <c r="H33" s="27"/>
      <c r="I33" s="27"/>
    </row>
    <row r="34" spans="1:12">
      <c r="A34" s="27"/>
      <c r="B34" s="27"/>
      <c r="C34" s="27"/>
      <c r="D34" s="27"/>
      <c r="E34" s="27"/>
      <c r="F34" s="27"/>
      <c r="G34" s="27"/>
      <c r="H34" s="27"/>
      <c r="I34" s="27"/>
    </row>
    <row r="35" spans="1:12">
      <c r="A35" s="27"/>
      <c r="B35" s="27"/>
      <c r="C35" s="27"/>
      <c r="D35" s="27"/>
      <c r="E35" s="27"/>
      <c r="F35" s="27"/>
      <c r="G35" s="27"/>
      <c r="H35" s="27"/>
      <c r="I35" s="27"/>
    </row>
    <row r="37" spans="1:12">
      <c r="A37" s="23" t="s">
        <v>78</v>
      </c>
      <c r="C37" s="23" t="s">
        <v>79</v>
      </c>
      <c r="E37" s="23" t="s">
        <v>80</v>
      </c>
    </row>
    <row r="38" spans="1:12" ht="15" customHeight="1">
      <c r="A38" t="s">
        <v>81</v>
      </c>
      <c r="B38">
        <f>1000</f>
        <v>1000</v>
      </c>
      <c r="C38" t="s">
        <v>82</v>
      </c>
      <c r="D38">
        <v>500</v>
      </c>
      <c r="E38" t="s">
        <v>83</v>
      </c>
      <c r="F38">
        <f>300</f>
        <v>300</v>
      </c>
      <c r="G38" s="80" t="s">
        <v>84</v>
      </c>
      <c r="H38" s="80"/>
      <c r="I38" s="80"/>
      <c r="J38" s="80"/>
      <c r="K38" s="80"/>
      <c r="L38" s="80"/>
    </row>
    <row r="39" spans="1:12">
      <c r="A39" t="s">
        <v>34</v>
      </c>
      <c r="B39">
        <f>8%</f>
        <v>0.08</v>
      </c>
      <c r="C39" t="s">
        <v>34</v>
      </c>
      <c r="D39">
        <v>7.0000000000000007E-2</v>
      </c>
      <c r="E39" t="s">
        <v>34</v>
      </c>
      <c r="F39">
        <f>7.5%</f>
        <v>7.4999999999999997E-2</v>
      </c>
      <c r="G39" s="80"/>
      <c r="H39" s="80"/>
      <c r="I39" s="80"/>
      <c r="J39" s="80"/>
      <c r="K39" s="80"/>
      <c r="L39" s="80"/>
    </row>
    <row r="40" spans="1:12">
      <c r="A40" t="s">
        <v>36</v>
      </c>
      <c r="B40">
        <f>7.2%</f>
        <v>7.2000000000000008E-2</v>
      </c>
      <c r="C40" t="s">
        <v>36</v>
      </c>
      <c r="D40">
        <v>7.1999999999999995E-2</v>
      </c>
      <c r="E40" t="s">
        <v>36</v>
      </c>
      <c r="F40">
        <f>7.2%</f>
        <v>7.2000000000000008E-2</v>
      </c>
    </row>
    <row r="41" spans="1:12">
      <c r="A41" t="s">
        <v>35</v>
      </c>
      <c r="B41">
        <v>2</v>
      </c>
      <c r="C41" t="s">
        <v>35</v>
      </c>
      <c r="D41">
        <v>2</v>
      </c>
      <c r="E41" t="s">
        <v>35</v>
      </c>
      <c r="F41">
        <v>2</v>
      </c>
    </row>
    <row r="42" spans="1:12">
      <c r="B42" s="2">
        <v>42167</v>
      </c>
      <c r="D42" s="2">
        <v>42167</v>
      </c>
      <c r="F42" s="2">
        <v>42167</v>
      </c>
    </row>
    <row r="43" spans="1:12">
      <c r="B43" s="2">
        <v>46733</v>
      </c>
      <c r="D43" s="2">
        <v>42898</v>
      </c>
      <c r="F43" s="2">
        <v>44724</v>
      </c>
    </row>
    <row r="44" spans="1:12">
      <c r="A44" t="s">
        <v>85</v>
      </c>
      <c r="B44" s="22">
        <f>PRICE(B42,B43,B39,B40,100,B41,1)</f>
        <v>106.52162980391107</v>
      </c>
      <c r="C44" t="s">
        <v>86</v>
      </c>
      <c r="D44" s="22">
        <f>PRICE(D42,D43,D39,D40,100,D41,1)</f>
        <v>99.633562373178606</v>
      </c>
      <c r="E44" t="s">
        <v>87</v>
      </c>
      <c r="F44" s="22">
        <f>PRICE(F42,F43,F39,F40,100,F41,1)</f>
        <v>101.6271434792525</v>
      </c>
    </row>
    <row r="45" spans="1:12">
      <c r="A45" t="s">
        <v>85</v>
      </c>
      <c r="B45" s="22">
        <f>10*B44</f>
        <v>1065.2162980391106</v>
      </c>
      <c r="C45" t="s">
        <v>86</v>
      </c>
      <c r="D45" s="22">
        <f>D38/100*D44</f>
        <v>498.16781186589304</v>
      </c>
      <c r="E45" t="s">
        <v>87</v>
      </c>
      <c r="F45" s="22">
        <f>3*F44</f>
        <v>304.8814304377575</v>
      </c>
    </row>
    <row r="46" spans="1:12">
      <c r="A46" t="s">
        <v>88</v>
      </c>
      <c r="B46" s="22">
        <f>DURATION(B42,B43,B39,B40,B41,1)</f>
        <v>8.2708230385814598</v>
      </c>
      <c r="C46" t="s">
        <v>89</v>
      </c>
      <c r="D46" s="22">
        <f>DURATION(D42,D43,D39,D40,D41,1)</f>
        <v>1.9006119643607944</v>
      </c>
      <c r="E46" t="s">
        <v>90</v>
      </c>
      <c r="F46" s="22">
        <f>DURATION(F42,F43,F39,F40,F41,1)</f>
        <v>5.5845612352085992</v>
      </c>
    </row>
    <row r="48" spans="1:12">
      <c r="A48" t="s">
        <v>91</v>
      </c>
      <c r="B48">
        <f>25000</f>
        <v>25000</v>
      </c>
      <c r="C48" s="33" t="s">
        <v>92</v>
      </c>
      <c r="D48" s="33"/>
      <c r="E48" s="33"/>
      <c r="F48" s="33"/>
      <c r="G48" s="33"/>
    </row>
    <row r="49" spans="1:10" ht="15" customHeight="1">
      <c r="A49" t="s">
        <v>35</v>
      </c>
      <c r="B49">
        <f>2</f>
        <v>2</v>
      </c>
      <c r="C49" s="33"/>
      <c r="D49" s="33"/>
      <c r="E49" s="33"/>
      <c r="F49" s="33"/>
      <c r="G49" s="33"/>
    </row>
    <row r="50" spans="1:10" ht="15" customHeight="1">
      <c r="A50" t="s">
        <v>93</v>
      </c>
      <c r="B50">
        <f>0.072</f>
        <v>7.1999999999999995E-2</v>
      </c>
      <c r="C50" s="33" t="s">
        <v>94</v>
      </c>
      <c r="D50" s="33"/>
      <c r="E50" s="33"/>
      <c r="F50" s="33"/>
      <c r="G50" s="33"/>
    </row>
    <row r="51" spans="1:10" ht="15" customHeight="1">
      <c r="A51" t="s">
        <v>95</v>
      </c>
      <c r="B51">
        <f>5*2</f>
        <v>10</v>
      </c>
      <c r="C51" s="33"/>
      <c r="D51" s="33"/>
      <c r="E51" s="33"/>
      <c r="F51" s="33"/>
      <c r="G51" s="33"/>
    </row>
    <row r="52" spans="1:10">
      <c r="A52" t="s">
        <v>96</v>
      </c>
      <c r="B52" s="4">
        <f>B48/(1+B50/B49)^B51</f>
        <v>17552.640360637328</v>
      </c>
      <c r="C52" s="33"/>
      <c r="D52" s="33"/>
      <c r="E52" s="33"/>
      <c r="F52" s="33"/>
      <c r="G52" s="33"/>
    </row>
    <row r="53" spans="1:10">
      <c r="A53" t="s">
        <v>53</v>
      </c>
      <c r="B53">
        <f>5</f>
        <v>5</v>
      </c>
      <c r="C53" s="33" t="s">
        <v>97</v>
      </c>
      <c r="D53" s="33"/>
      <c r="E53" s="33"/>
      <c r="F53" s="33"/>
      <c r="G53" s="33"/>
    </row>
    <row r="54" spans="1:10">
      <c r="C54" s="33"/>
      <c r="D54" s="33"/>
      <c r="E54" s="33"/>
      <c r="F54" s="33"/>
      <c r="G54" s="33"/>
    </row>
    <row r="55" spans="1:10">
      <c r="C55" s="33"/>
      <c r="D55" s="33"/>
      <c r="E55" s="33"/>
      <c r="F55" s="33"/>
      <c r="G55" s="33"/>
    </row>
    <row r="56" spans="1:10">
      <c r="C56" s="13"/>
      <c r="D56" s="13"/>
      <c r="E56" s="13"/>
      <c r="F56" s="13"/>
      <c r="G56" s="13"/>
    </row>
    <row r="57" spans="1:10" ht="15" customHeight="1">
      <c r="A57" s="33" t="s">
        <v>98</v>
      </c>
      <c r="B57" s="33"/>
      <c r="C57" s="33"/>
      <c r="D57" s="33"/>
      <c r="E57" s="33"/>
      <c r="F57" s="33"/>
      <c r="G57" s="33"/>
    </row>
    <row r="58" spans="1:10">
      <c r="A58" s="33"/>
      <c r="B58" s="33"/>
      <c r="C58" s="33"/>
      <c r="D58" s="33"/>
      <c r="E58" s="33"/>
      <c r="F58" s="33"/>
      <c r="G58" s="33"/>
    </row>
    <row r="59" spans="1:10">
      <c r="A59" s="33"/>
      <c r="B59" s="33"/>
      <c r="C59" s="33"/>
      <c r="D59" s="33"/>
      <c r="E59" s="33"/>
      <c r="F59" s="33"/>
      <c r="G59" s="33"/>
    </row>
    <row r="60" spans="1:10">
      <c r="A60" s="33"/>
      <c r="B60" s="33"/>
      <c r="C60" s="33"/>
      <c r="D60" s="33"/>
      <c r="E60" s="33"/>
      <c r="F60" s="33"/>
      <c r="G60" s="33"/>
    </row>
    <row r="61" spans="1:10">
      <c r="A61" s="82" t="s">
        <v>99</v>
      </c>
      <c r="B61" s="82"/>
      <c r="C61" s="13"/>
      <c r="D61" s="13"/>
      <c r="E61" s="13"/>
      <c r="F61" s="13"/>
      <c r="G61" s="13"/>
      <c r="H61" s="57" t="s">
        <v>100</v>
      </c>
      <c r="I61" s="58"/>
      <c r="J61" s="59"/>
    </row>
    <row r="62" spans="1:10" ht="15" customHeight="1">
      <c r="A62" t="s">
        <v>101</v>
      </c>
      <c r="B62">
        <v>9.9615107756919805</v>
      </c>
      <c r="C62" t="s">
        <v>101</v>
      </c>
      <c r="D62">
        <f>8</f>
        <v>8</v>
      </c>
      <c r="H62" s="60"/>
      <c r="I62" s="61"/>
      <c r="J62" s="62"/>
    </row>
    <row r="63" spans="1:10">
      <c r="A63" t="s">
        <v>102</v>
      </c>
      <c r="C63" t="s">
        <v>102</v>
      </c>
      <c r="D63">
        <f>18</f>
        <v>18</v>
      </c>
      <c r="H63" s="60"/>
      <c r="I63" s="61"/>
      <c r="J63" s="62"/>
    </row>
    <row r="64" spans="1:10">
      <c r="H64" s="60"/>
      <c r="I64" s="61"/>
      <c r="J64" s="62"/>
    </row>
    <row r="65" spans="1:10">
      <c r="H65" s="60"/>
      <c r="I65" s="61"/>
      <c r="J65" s="62"/>
    </row>
    <row r="66" spans="1:10">
      <c r="A66" t="s">
        <v>53</v>
      </c>
      <c r="B66">
        <f>(B62*B45*B46+B63*D45*D46)/B52</f>
        <v>4.999991729176962</v>
      </c>
      <c r="H66" s="60"/>
      <c r="I66" s="61"/>
      <c r="J66" s="62"/>
    </row>
    <row r="67" spans="1:10">
      <c r="H67" s="63"/>
      <c r="I67" s="64"/>
      <c r="J67" s="65"/>
    </row>
    <row r="68" spans="1:10">
      <c r="A68" s="81" t="s">
        <v>103</v>
      </c>
      <c r="B68" s="81"/>
      <c r="C68" s="81"/>
      <c r="D68" s="81"/>
      <c r="E68" s="81"/>
      <c r="F68" s="81"/>
    </row>
  </sheetData>
  <mergeCells count="17">
    <mergeCell ref="A68:F68"/>
    <mergeCell ref="A57:G60"/>
    <mergeCell ref="A61:B61"/>
    <mergeCell ref="C50:G52"/>
    <mergeCell ref="C48:G49"/>
    <mergeCell ref="A30:I35"/>
    <mergeCell ref="H61:J67"/>
    <mergeCell ref="A26:B26"/>
    <mergeCell ref="A27:B27"/>
    <mergeCell ref="A1:I2"/>
    <mergeCell ref="A9:I14"/>
    <mergeCell ref="A6:B7"/>
    <mergeCell ref="A3:B5"/>
    <mergeCell ref="G38:L39"/>
    <mergeCell ref="C53:G55"/>
    <mergeCell ref="L26:M26"/>
    <mergeCell ref="L27:M2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B8E646CFC3F041A32F950E4FE791F8" ma:contentTypeVersion="12" ma:contentTypeDescription="Create a new document." ma:contentTypeScope="" ma:versionID="5a186d5d67e3535e9c191a55ec2ecfa7">
  <xsd:schema xmlns:xsd="http://www.w3.org/2001/XMLSchema" xmlns:xs="http://www.w3.org/2001/XMLSchema" xmlns:p="http://schemas.microsoft.com/office/2006/metadata/properties" xmlns:ns2="7c088ce7-f77b-4739-900c-44aef1bb1202" xmlns:ns3="7de9c743-fdbb-4e6b-a3e8-fd6c087e8ac7" targetNamespace="http://schemas.microsoft.com/office/2006/metadata/properties" ma:root="true" ma:fieldsID="4cce81176af24689772feb9938e6ba9d" ns2:_="" ns3:_="">
    <xsd:import namespace="7c088ce7-f77b-4739-900c-44aef1bb1202"/>
    <xsd:import namespace="7de9c743-fdbb-4e6b-a3e8-fd6c087e8a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088ce7-f77b-4739-900c-44aef1bb12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2477d6b-c067-427e-89f4-3c8c0b3f58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e9c743-fdbb-4e6b-a3e8-fd6c087e8ac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430148-5551-4d7b-933f-e926b33856a8}" ma:internalName="TaxCatchAll" ma:showField="CatchAllData" ma:web="7de9c743-fdbb-4e6b-a3e8-fd6c087e8a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e9c743-fdbb-4e6b-a3e8-fd6c087e8ac7" xsi:nil="true"/>
    <lcf76f155ced4ddcb4097134ff3c332f xmlns="7c088ce7-f77b-4739-900c-44aef1bb12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009668-7A2B-4E88-BEF6-98FDD93DB2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667488-5F44-4F19-99DA-D2C86EB716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088ce7-f77b-4739-900c-44aef1bb1202"/>
    <ds:schemaRef ds:uri="7de9c743-fdbb-4e6b-a3e8-fd6c087e8a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5F9A86-4690-4B14-B8E6-C604E07A7513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7c088ce7-f77b-4739-900c-44aef1bb1202"/>
    <ds:schemaRef ds:uri="http://purl.org/dc/dcmitype/"/>
    <ds:schemaRef ds:uri="7de9c743-fdbb-4e6b-a3e8-fd6c087e8ac7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Cena i srednje vreme Obveznice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Nemanja</dc:creator>
  <cp:keywords/>
  <dc:description/>
  <cp:lastModifiedBy>Aleksa Djordjevic</cp:lastModifiedBy>
  <cp:revision/>
  <dcterms:created xsi:type="dcterms:W3CDTF">2022-11-30T23:10:35Z</dcterms:created>
  <dcterms:modified xsi:type="dcterms:W3CDTF">2024-12-17T14:51:54Z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0x01010094B8E646CFC3F041A32F950E4FE791F8</vt:lpwstr>
  </property>
  <property fmtid="{D5CDD505-2E9C-101B-9397-08002B2CF9AE}" pid="3" name="MediaServiceImageTags">
    <vt:lpwstr/>
  </property>
</Properties>
</file>